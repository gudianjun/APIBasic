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_5erv0gq\OneDrive\ドキュメント\"/>
    </mc:Choice>
  </mc:AlternateContent>
  <xr:revisionPtr revIDLastSave="0" documentId="13_ncr:1_{CA46D50A-5B84-4931-88F3-4952DE509868}" xr6:coauthVersionLast="47" xr6:coauthVersionMax="47" xr10:uidLastSave="{00000000-0000-0000-0000-000000000000}"/>
  <bookViews>
    <workbookView xWindow="9285" yWindow="-16320" windowWidth="29040" windowHeight="15720" activeTab="5" xr2:uid="{63CEB946-5C0A-46B5-841B-6B813B9D0C82}"/>
  </bookViews>
  <sheets>
    <sheet name="网站结构" sheetId="1" r:id="rId1"/>
    <sheet name="门户" sheetId="2" r:id="rId2"/>
    <sheet name="游戏设计" sheetId="3" r:id="rId3"/>
    <sheet name="数据库设计" sheetId="4" r:id="rId4"/>
    <sheet name="Redis使用方式" sheetId="5" r:id="rId5"/>
    <sheet name="dock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4" l="1"/>
  <c r="G48" i="4"/>
  <c r="G47" i="4"/>
  <c r="G46" i="4"/>
  <c r="G45" i="4"/>
  <c r="G44" i="4"/>
  <c r="G43" i="4"/>
  <c r="G42" i="4"/>
  <c r="G41" i="4"/>
  <c r="G35" i="4"/>
  <c r="G34" i="4"/>
  <c r="G33" i="4"/>
  <c r="G32" i="4"/>
  <c r="G31" i="4"/>
  <c r="G30" i="4"/>
  <c r="G29" i="4"/>
  <c r="G28" i="4"/>
  <c r="G23" i="4"/>
  <c r="G22" i="4"/>
  <c r="G21" i="4"/>
  <c r="G20" i="4"/>
  <c r="G19" i="4"/>
  <c r="G18" i="4"/>
  <c r="G17" i="4"/>
  <c r="G16" i="4"/>
  <c r="G15" i="4"/>
</calcChain>
</file>

<file path=xl/sharedStrings.xml><?xml version="1.0" encoding="utf-8"?>
<sst xmlns="http://schemas.openxmlformats.org/spreadsheetml/2006/main" count="226" uniqueCount="115">
  <si>
    <t>Log In</t>
    <phoneticPr fontId="3"/>
  </si>
  <si>
    <t>Remember me</t>
    <phoneticPr fontId="3"/>
  </si>
  <si>
    <t>Login</t>
    <phoneticPr fontId="3"/>
  </si>
  <si>
    <t>ICON</t>
    <phoneticPr fontId="3"/>
  </si>
  <si>
    <t>Home</t>
    <phoneticPr fontId="3"/>
  </si>
  <si>
    <t>Register</t>
    <phoneticPr fontId="3"/>
  </si>
  <si>
    <t>Game Images</t>
    <phoneticPr fontId="3"/>
  </si>
  <si>
    <t>Password</t>
    <phoneticPr fontId="3"/>
  </si>
  <si>
    <t>Confirm Password</t>
    <phoneticPr fontId="3"/>
  </si>
  <si>
    <t>User already exists</t>
    <phoneticPr fontId="3"/>
  </si>
  <si>
    <t>User Center</t>
    <phoneticPr fontId="3"/>
  </si>
  <si>
    <t>xxxxx</t>
    <phoneticPr fontId="3"/>
  </si>
  <si>
    <t>Logout</t>
    <phoneticPr fontId="3"/>
  </si>
  <si>
    <r>
      <t>My</t>
    </r>
    <r>
      <rPr>
        <sz val="11"/>
        <color theme="1"/>
        <rFont val="Microsoft YaHei"/>
        <family val="2"/>
        <charset val="134"/>
      </rPr>
      <t xml:space="preserve"> Acount</t>
    </r>
    <phoneticPr fontId="3"/>
  </si>
  <si>
    <r>
      <t>My</t>
    </r>
    <r>
      <rPr>
        <b/>
        <sz val="11"/>
        <color theme="1"/>
        <rFont val="Microsoft YaHei"/>
        <family val="2"/>
        <charset val="134"/>
      </rPr>
      <t xml:space="preserve"> Acount</t>
    </r>
    <phoneticPr fontId="3"/>
  </si>
  <si>
    <t>Nich Name</t>
    <phoneticPr fontId="3"/>
  </si>
  <si>
    <t>User Name</t>
    <phoneticPr fontId="3"/>
  </si>
  <si>
    <t>: xxxxxxx</t>
    <phoneticPr fontId="3"/>
  </si>
  <si>
    <t>:xxxxxxxx</t>
    <phoneticPr fontId="3"/>
  </si>
  <si>
    <t>GameHistory</t>
    <phoneticPr fontId="3"/>
  </si>
  <si>
    <t>History</t>
    <phoneticPr fontId="3"/>
  </si>
  <si>
    <t>Date</t>
    <phoneticPr fontId="3"/>
  </si>
  <si>
    <t>OrderID</t>
    <phoneticPr fontId="3"/>
  </si>
  <si>
    <t>Result</t>
    <phoneticPr fontId="3"/>
  </si>
  <si>
    <t>Balance</t>
    <phoneticPr fontId="3"/>
  </si>
  <si>
    <t>：xxxxxx.00</t>
    <phoneticPr fontId="3"/>
  </si>
  <si>
    <t>Previous</t>
    <phoneticPr fontId="3"/>
  </si>
  <si>
    <t>Next</t>
    <phoneticPr fontId="3"/>
  </si>
  <si>
    <t>Balance：</t>
    <phoneticPr fontId="3"/>
  </si>
  <si>
    <t>xxxxxxx</t>
    <phoneticPr fontId="3"/>
  </si>
  <si>
    <t>石头</t>
    <phoneticPr fontId="3"/>
  </si>
  <si>
    <t>99/99</t>
    <phoneticPr fontId="3"/>
  </si>
  <si>
    <t>加入游戏</t>
    <phoneticPr fontId="3"/>
  </si>
  <si>
    <t>Bet：10</t>
    <phoneticPr fontId="3"/>
  </si>
  <si>
    <t>参与人数</t>
    <phoneticPr fontId="3"/>
  </si>
  <si>
    <t>连接人数</t>
    <phoneticPr fontId="3"/>
  </si>
  <si>
    <t>游戏人数</t>
    <phoneticPr fontId="3"/>
  </si>
  <si>
    <t>等待开局</t>
    <phoneticPr fontId="3"/>
  </si>
  <si>
    <t>出拳阶段</t>
    <phoneticPr fontId="3"/>
  </si>
  <si>
    <t>剪刀</t>
    <phoneticPr fontId="3"/>
  </si>
  <si>
    <t>布</t>
    <phoneticPr fontId="3"/>
  </si>
  <si>
    <t>结果</t>
    <phoneticPr fontId="3"/>
  </si>
  <si>
    <t>恭喜最终胜利者</t>
    <phoneticPr fontId="3"/>
  </si>
  <si>
    <t>开发框架</t>
    <phoneticPr fontId="3"/>
  </si>
  <si>
    <t>PixiJS</t>
    <phoneticPr fontId="3"/>
  </si>
  <si>
    <t>TABLE名</t>
  </si>
  <si>
    <t>TABLE用途</t>
  </si>
  <si>
    <t>表示名</t>
  </si>
  <si>
    <t>カラム名</t>
  </si>
  <si>
    <t>型</t>
  </si>
  <si>
    <t>NULL許容</t>
  </si>
  <si>
    <t>INDEX</t>
  </si>
  <si>
    <t>重複</t>
  </si>
  <si>
    <t>NOT NULL</t>
  </si>
  <si>
    <t>★PRIMARY</t>
  </si>
  <si>
    <t>No</t>
  </si>
  <si>
    <t>Yes</t>
  </si>
  <si>
    <t>SHOZOKUMEISHO_KANA</t>
  </si>
  <si>
    <t>CHIIKITEATEKBN</t>
  </si>
  <si>
    <t>KEITOKBN</t>
  </si>
  <si>
    <t>UserInfo</t>
    <phoneticPr fontId="3"/>
  </si>
  <si>
    <r>
      <rPr>
        <sz val="11"/>
        <rFont val="Microsoft YaHei"/>
        <family val="3"/>
        <charset val="134"/>
      </rPr>
      <t>USER</t>
    </r>
    <r>
      <rPr>
        <sz val="11"/>
        <rFont val="游ゴシック"/>
        <family val="3"/>
        <charset val="128"/>
      </rPr>
      <t>_ID</t>
    </r>
    <phoneticPr fontId="3"/>
  </si>
  <si>
    <t>用户名</t>
    <phoneticPr fontId="3"/>
  </si>
  <si>
    <t>用户昵称</t>
    <phoneticPr fontId="3"/>
  </si>
  <si>
    <t>注册时间</t>
    <phoneticPr fontId="3"/>
  </si>
  <si>
    <t>最后信息修改时间</t>
    <phoneticPr fontId="3"/>
  </si>
  <si>
    <t>最后登录时间</t>
    <phoneticPr fontId="3"/>
  </si>
  <si>
    <t>注册IP地址</t>
    <phoneticPr fontId="3"/>
  </si>
  <si>
    <t>最后登录IP地址</t>
    <phoneticPr fontId="3"/>
  </si>
  <si>
    <r>
      <t>nvarchar(</t>
    </r>
    <r>
      <rPr>
        <sz val="11"/>
        <rFont val="Microsoft YaHei"/>
        <family val="3"/>
        <charset val="134"/>
      </rPr>
      <t>50</t>
    </r>
    <r>
      <rPr>
        <sz val="11"/>
        <rFont val="游ゴシック"/>
        <family val="3"/>
        <charset val="128"/>
        <scheme val="minor"/>
      </rPr>
      <t>)</t>
    </r>
    <phoneticPr fontId="3"/>
  </si>
  <si>
    <t>datetime</t>
    <phoneticPr fontId="3"/>
  </si>
  <si>
    <r>
      <t>nvarchar(</t>
    </r>
    <r>
      <rPr>
        <sz val="11"/>
        <rFont val="Microsoft YaHei"/>
        <family val="3"/>
        <charset val="134"/>
      </rPr>
      <t>20</t>
    </r>
    <r>
      <rPr>
        <sz val="11"/>
        <rFont val="游ゴシック"/>
        <family val="3"/>
        <charset val="128"/>
        <scheme val="minor"/>
      </rPr>
      <t>)</t>
    </r>
    <phoneticPr fontId="3"/>
  </si>
  <si>
    <t>用户游戏历史记录</t>
    <phoneticPr fontId="3"/>
  </si>
  <si>
    <t>订单号</t>
    <phoneticPr fontId="3"/>
  </si>
  <si>
    <t>ORDER_ID</t>
    <phoneticPr fontId="3"/>
  </si>
  <si>
    <t>订单时间</t>
    <phoneticPr fontId="3"/>
  </si>
  <si>
    <t>订单内容</t>
    <phoneticPr fontId="3"/>
  </si>
  <si>
    <t>OrderInfo</t>
    <phoneticPr fontId="3"/>
  </si>
  <si>
    <t>订单信息</t>
    <phoneticPr fontId="3"/>
  </si>
  <si>
    <t>总投注金额</t>
    <phoneticPr fontId="3"/>
  </si>
  <si>
    <t>最后胜利者ID</t>
    <phoneticPr fontId="3"/>
  </si>
  <si>
    <t>TEXT</t>
    <phoneticPr fontId="3"/>
  </si>
  <si>
    <t>ORDER_TEXT</t>
    <phoneticPr fontId="3"/>
  </si>
  <si>
    <t>ORDER_TIME</t>
    <phoneticPr fontId="3"/>
  </si>
  <si>
    <t>BET_PEOPLE_NUMBER</t>
    <phoneticPr fontId="3"/>
  </si>
  <si>
    <t>LAST_WIN_USER_ID</t>
    <phoneticPr fontId="3"/>
  </si>
  <si>
    <t>下注金额</t>
    <phoneticPr fontId="3"/>
  </si>
  <si>
    <r>
      <rPr>
        <sz val="11"/>
        <rFont val="Microsoft YaHei"/>
        <family val="3"/>
        <charset val="134"/>
      </rPr>
      <t>BET</t>
    </r>
    <r>
      <rPr>
        <sz val="11"/>
        <rFont val="游ゴシック"/>
        <family val="3"/>
        <charset val="128"/>
      </rPr>
      <t>_AMOUNT</t>
    </r>
    <phoneticPr fontId="3"/>
  </si>
  <si>
    <t>ALL_BET_AMOUNT</t>
    <phoneticPr fontId="12"/>
  </si>
  <si>
    <t>胜利标记</t>
    <phoneticPr fontId="3"/>
  </si>
  <si>
    <r>
      <rPr>
        <sz val="11"/>
        <rFont val="Microsoft YaHei"/>
        <family val="3"/>
        <charset val="134"/>
      </rPr>
      <t>WIN</t>
    </r>
    <r>
      <rPr>
        <sz val="11"/>
        <rFont val="游ゴシック"/>
        <family val="3"/>
        <charset val="128"/>
      </rPr>
      <t>_FLAG</t>
    </r>
    <phoneticPr fontId="12"/>
  </si>
  <si>
    <t>用户信息</t>
    <phoneticPr fontId="3"/>
  </si>
  <si>
    <t>decimal(10,2)</t>
    <phoneticPr fontId="3"/>
  </si>
  <si>
    <t>int</t>
    <phoneticPr fontId="3"/>
  </si>
  <si>
    <r>
      <rPr>
        <b/>
        <sz val="11"/>
        <rFont val="Microsoft YaHei"/>
        <family val="3"/>
        <charset val="134"/>
      </rPr>
      <t>USER</t>
    </r>
    <r>
      <rPr>
        <b/>
        <sz val="11"/>
        <rFont val="游ゴシック"/>
        <family val="3"/>
        <charset val="128"/>
      </rPr>
      <t>_ID</t>
    </r>
    <phoneticPr fontId="3"/>
  </si>
  <si>
    <r>
      <t>nvarchar(</t>
    </r>
    <r>
      <rPr>
        <b/>
        <sz val="11"/>
        <rFont val="Microsoft YaHei"/>
        <family val="3"/>
        <charset val="134"/>
      </rPr>
      <t>50</t>
    </r>
    <r>
      <rPr>
        <b/>
        <sz val="11"/>
        <rFont val="游ゴシック"/>
        <family val="3"/>
        <charset val="128"/>
        <scheme val="minor"/>
      </rPr>
      <t>)</t>
    </r>
    <phoneticPr fontId="3"/>
  </si>
  <si>
    <t>数据库</t>
    <phoneticPr fontId="3"/>
  </si>
  <si>
    <t>Sqlserver</t>
    <phoneticPr fontId="3"/>
  </si>
  <si>
    <t>USER_PASSWORD</t>
    <phoneticPr fontId="3"/>
  </si>
  <si>
    <t>REG_TIME</t>
    <phoneticPr fontId="3"/>
  </si>
  <si>
    <t>LAST_MODIFY_TIME</t>
    <phoneticPr fontId="12"/>
  </si>
  <si>
    <t>LAST_LOGIN_TIME</t>
    <phoneticPr fontId="3"/>
  </si>
  <si>
    <t>REG_IP</t>
    <phoneticPr fontId="3"/>
  </si>
  <si>
    <t>LOGIN_IP</t>
    <phoneticPr fontId="3"/>
  </si>
  <si>
    <t>sqlserver 服务器</t>
    <phoneticPr fontId="3"/>
  </si>
  <si>
    <t>docker pull</t>
    <phoneticPr fontId="3"/>
  </si>
  <si>
    <t>docker run</t>
    <phoneticPr fontId="3"/>
  </si>
  <si>
    <t>docker desktop安装</t>
    <phoneticPr fontId="3"/>
  </si>
  <si>
    <t>sqlserver客户端</t>
    <phoneticPr fontId="3"/>
  </si>
  <si>
    <t>连接sqlserver</t>
    <phoneticPr fontId="3"/>
  </si>
  <si>
    <t>select</t>
    <phoneticPr fontId="3"/>
  </si>
  <si>
    <t>insert</t>
    <phoneticPr fontId="3"/>
  </si>
  <si>
    <t>update</t>
    <phoneticPr fontId="3"/>
  </si>
  <si>
    <t>delete</t>
    <phoneticPr fontId="3"/>
  </si>
  <si>
    <t>上传基础数据库到docker中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</si>
</sst>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sz val="72"/>
      <color theme="1"/>
      <name val="游ゴシック"/>
      <family val="2"/>
      <charset val="128"/>
      <scheme val="minor"/>
    </font>
    <font>
      <sz val="48"/>
      <color theme="1"/>
      <name val="Microsoft YaHei"/>
      <family val="2"/>
      <charset val="134"/>
    </font>
    <font>
      <sz val="48"/>
      <color theme="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Microsoft YaHei"/>
      <family val="3"/>
      <charset val="134"/>
    </font>
    <font>
      <sz val="11"/>
      <name val="游ゴシック"/>
      <family val="3"/>
      <charset val="128"/>
    </font>
    <font>
      <sz val="11"/>
      <name val="游ゴシック"/>
      <family val="3"/>
      <charset val="134"/>
    </font>
    <font>
      <b/>
      <sz val="11"/>
      <name val="Microsoft YaHei"/>
      <family val="3"/>
      <charset val="134"/>
    </font>
    <font>
      <b/>
      <sz val="11"/>
      <name val="游ゴシック"/>
      <family val="3"/>
      <charset val="134"/>
    </font>
    <font>
      <b/>
      <sz val="11"/>
      <name val="游ゴシック"/>
      <family val="3"/>
      <charset val="128"/>
    </font>
    <font>
      <b/>
      <sz val="11"/>
      <name val="游ゴシック"/>
      <family val="3"/>
      <charset val="128"/>
      <scheme val="minor"/>
    </font>
    <font>
      <sz val="11"/>
      <color theme="1"/>
      <name val="Microsoft YaHe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4" fillId="2" borderId="0" xfId="0" applyFont="1" applyFill="1">
      <alignment vertical="center"/>
    </xf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4" fillId="3" borderId="2" xfId="0" applyFont="1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0" borderId="6" xfId="0" applyBorder="1">
      <alignment vertical="center"/>
    </xf>
    <xf numFmtId="0" fontId="2" fillId="3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5" xfId="0" applyFont="1" applyFill="1" applyBorder="1">
      <alignment vertical="center"/>
    </xf>
    <xf numFmtId="0" fontId="6" fillId="3" borderId="5" xfId="0" applyFont="1" applyFill="1" applyBorder="1">
      <alignment vertical="center"/>
    </xf>
    <xf numFmtId="0" fontId="4" fillId="0" borderId="0" xfId="0" applyFont="1">
      <alignment vertical="center"/>
    </xf>
    <xf numFmtId="0" fontId="4" fillId="2" borderId="5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4" fillId="2" borderId="19" xfId="0" applyFont="1" applyFill="1" applyBorder="1">
      <alignment vertical="center"/>
    </xf>
    <xf numFmtId="0" fontId="0" fillId="2" borderId="20" xfId="0" applyFill="1" applyBorder="1">
      <alignment vertical="center"/>
    </xf>
    <xf numFmtId="0" fontId="0" fillId="2" borderId="19" xfId="0" applyFill="1" applyBorder="1">
      <alignment vertical="center"/>
    </xf>
    <xf numFmtId="0" fontId="4" fillId="3" borderId="19" xfId="0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22" xfId="0" applyFill="1" applyBorder="1">
      <alignment vertical="center"/>
    </xf>
    <xf numFmtId="0" fontId="0" fillId="3" borderId="23" xfId="0" applyFill="1" applyBorder="1">
      <alignment vertical="center"/>
    </xf>
    <xf numFmtId="0" fontId="10" fillId="6" borderId="0" xfId="0" applyFont="1" applyFill="1" applyAlignment="1"/>
    <xf numFmtId="0" fontId="0" fillId="0" borderId="0" xfId="0" applyAlignment="1"/>
    <xf numFmtId="0" fontId="10" fillId="6" borderId="0" xfId="0" applyFont="1" applyFill="1">
      <alignment vertical="center"/>
    </xf>
    <xf numFmtId="0" fontId="11" fillId="0" borderId="1" xfId="0" applyFont="1" applyBorder="1">
      <alignment vertical="center"/>
    </xf>
    <xf numFmtId="0" fontId="11" fillId="0" borderId="0" xfId="0" applyFont="1" applyAlignment="1"/>
    <xf numFmtId="0" fontId="11" fillId="0" borderId="0" xfId="0" applyFont="1">
      <alignment vertical="center"/>
    </xf>
    <xf numFmtId="0" fontId="4" fillId="0" borderId="0" xfId="0" applyFont="1" applyAlignment="1"/>
    <xf numFmtId="0" fontId="13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0" xfId="0" applyFont="1" applyAlignment="1"/>
    <xf numFmtId="0" fontId="18" fillId="0" borderId="1" xfId="0" applyFont="1" applyBorder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179613</xdr:colOff>
      <xdr:row>1</xdr:row>
      <xdr:rowOff>163286</xdr:rowOff>
    </xdr:from>
    <xdr:to>
      <xdr:col>10</xdr:col>
      <xdr:colOff>293914</xdr:colOff>
      <xdr:row>6</xdr:row>
      <xdr:rowOff>223157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70EBDCB-E9EB-2038-47FA-CB4267FF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6356" y="397329"/>
          <a:ext cx="4294415" cy="1230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212271</xdr:colOff>
      <xdr:row>11</xdr:row>
      <xdr:rowOff>130629</xdr:rowOff>
    </xdr:from>
    <xdr:to>
      <xdr:col>13</xdr:col>
      <xdr:colOff>348342</xdr:colOff>
      <xdr:row>26</xdr:row>
      <xdr:rowOff>152400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23C76D4-F8B0-A449-9D8B-C627A707E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71" y="2705100"/>
          <a:ext cx="9192985" cy="3532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348342</xdr:colOff>
      <xdr:row>29</xdr:row>
      <xdr:rowOff>97971</xdr:rowOff>
    </xdr:from>
    <xdr:to>
      <xdr:col>2</xdr:col>
      <xdr:colOff>130628</xdr:colOff>
      <xdr:row>32</xdr:row>
      <xdr:rowOff>27214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480D56F-710B-4208-AD23-3C6687286672}"/>
            </a:ext>
          </a:extLst>
        </xdr:cNvPr>
        <xdr:cNvSpPr/>
      </xdr:nvSpPr>
      <xdr:spPr>
        <a:xfrm>
          <a:off x="1045028" y="1268185"/>
          <a:ext cx="478971" cy="631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587828</xdr:colOff>
      <xdr:row>2</xdr:row>
      <xdr:rowOff>163285</xdr:rowOff>
    </xdr:from>
    <xdr:to>
      <xdr:col>21</xdr:col>
      <xdr:colOff>582385</xdr:colOff>
      <xdr:row>17</xdr:row>
      <xdr:rowOff>185056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8F17200-2CF1-3456-DE3B-905598B01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1371" y="631371"/>
          <a:ext cx="6961414" cy="3532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348341</xdr:colOff>
      <xdr:row>53</xdr:row>
      <xdr:rowOff>97971</xdr:rowOff>
    </xdr:from>
    <xdr:to>
      <xdr:col>2</xdr:col>
      <xdr:colOff>478971</xdr:colOff>
      <xdr:row>57</xdr:row>
      <xdr:rowOff>21772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B4EA822-EF71-1FC7-9B36-2014647513F9}"/>
            </a:ext>
          </a:extLst>
        </xdr:cNvPr>
        <xdr:cNvGrpSpPr/>
      </xdr:nvGrpSpPr>
      <xdr:grpSpPr>
        <a:xfrm>
          <a:off x="1047748" y="12715875"/>
          <a:ext cx="819152" cy="876301"/>
          <a:chOff x="1045027" y="12524014"/>
          <a:chExt cx="827315" cy="859972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234AA976-6ECD-43FF-B35A-F56F2FBD667A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811B8630-75B9-0668-D276-713DE23B7BD3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F1033099-D1AE-D7FF-454C-62F807AD562C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582385</xdr:colOff>
      <xdr:row>53</xdr:row>
      <xdr:rowOff>108857</xdr:rowOff>
    </xdr:from>
    <xdr:to>
      <xdr:col>4</xdr:col>
      <xdr:colOff>16328</xdr:colOff>
      <xdr:row>57</xdr:row>
      <xdr:rowOff>32658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560DBD88-D6A9-4D77-A769-F00B2C6B5E1A}"/>
            </a:ext>
          </a:extLst>
        </xdr:cNvPr>
        <xdr:cNvGrpSpPr/>
      </xdr:nvGrpSpPr>
      <xdr:grpSpPr>
        <a:xfrm>
          <a:off x="1971674" y="12725400"/>
          <a:ext cx="828675" cy="876301"/>
          <a:chOff x="1045027" y="12524014"/>
          <a:chExt cx="827315" cy="859972"/>
        </a:xfrm>
      </xdr:grpSpPr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A3D1123F-E5EF-4F8C-B09D-C778A86FE808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DAC27D81-F2C3-2DDB-DA2F-379C24010370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BA77A0C8-E201-3839-C466-4F4946EFB61C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76200</xdr:colOff>
      <xdr:row>53</xdr:row>
      <xdr:rowOff>114300</xdr:rowOff>
    </xdr:from>
    <xdr:to>
      <xdr:col>5</xdr:col>
      <xdr:colOff>206829</xdr:colOff>
      <xdr:row>57</xdr:row>
      <xdr:rowOff>38101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7CD31615-828D-497F-99BE-BE5B08414C44}"/>
            </a:ext>
          </a:extLst>
        </xdr:cNvPr>
        <xdr:cNvGrpSpPr/>
      </xdr:nvGrpSpPr>
      <xdr:grpSpPr>
        <a:xfrm>
          <a:off x="2857500" y="12734925"/>
          <a:ext cx="828675" cy="876301"/>
          <a:chOff x="1045027" y="12524014"/>
          <a:chExt cx="827315" cy="859972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1866156C-A6C4-CB6A-71FE-4769DA6D521E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E36E858A-2E88-D9AD-6CDF-65BAB0D6793A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7D45466C-5EC8-4818-67DE-6BCF0CA06213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310243</xdr:colOff>
      <xdr:row>53</xdr:row>
      <xdr:rowOff>125186</xdr:rowOff>
    </xdr:from>
    <xdr:to>
      <xdr:col>6</xdr:col>
      <xdr:colOff>440873</xdr:colOff>
      <xdr:row>57</xdr:row>
      <xdr:rowOff>48987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E6501121-1ED3-4A66-8FCE-AA7732018934}"/>
            </a:ext>
          </a:extLst>
        </xdr:cNvPr>
        <xdr:cNvGrpSpPr/>
      </xdr:nvGrpSpPr>
      <xdr:grpSpPr>
        <a:xfrm>
          <a:off x="3790950" y="12744450"/>
          <a:ext cx="819152" cy="876301"/>
          <a:chOff x="1045027" y="12524014"/>
          <a:chExt cx="827315" cy="859972"/>
        </a:xfrm>
      </xdr:grpSpPr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8DE4E6B6-3881-59F5-F3EC-3DA51F4380AF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710083A8-9462-6E92-64A1-510582CCA71F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92BA4A41-44E9-3E62-DB00-AA6D550F17C5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364670</xdr:colOff>
      <xdr:row>53</xdr:row>
      <xdr:rowOff>97971</xdr:rowOff>
    </xdr:from>
    <xdr:to>
      <xdr:col>2</xdr:col>
      <xdr:colOff>495300</xdr:colOff>
      <xdr:row>57</xdr:row>
      <xdr:rowOff>21772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B1BF7AE-5388-9941-C11D-DBFDA5AC17E2}"/>
            </a:ext>
          </a:extLst>
        </xdr:cNvPr>
        <xdr:cNvGrpSpPr/>
      </xdr:nvGrpSpPr>
      <xdr:grpSpPr>
        <a:xfrm>
          <a:off x="1057274" y="12715875"/>
          <a:ext cx="828676" cy="876301"/>
          <a:chOff x="1045027" y="12524014"/>
          <a:chExt cx="827315" cy="859972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78CC95D8-418C-E355-7D6F-B57D2992F24B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D73BCE6-8D19-7376-DB5B-200D5CDFC841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34FB7A6E-EFF5-AE62-70B6-5260D9F3CE5E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zh-CN" altLang="en-US" sz="1100"/>
              <a:t>你自己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598714</xdr:colOff>
      <xdr:row>53</xdr:row>
      <xdr:rowOff>108857</xdr:rowOff>
    </xdr:from>
    <xdr:to>
      <xdr:col>4</xdr:col>
      <xdr:colOff>32657</xdr:colOff>
      <xdr:row>57</xdr:row>
      <xdr:rowOff>32658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9D408967-A2B7-8B7A-981D-1C7C3EAA4041}"/>
            </a:ext>
          </a:extLst>
        </xdr:cNvPr>
        <xdr:cNvGrpSpPr/>
      </xdr:nvGrpSpPr>
      <xdr:grpSpPr>
        <a:xfrm>
          <a:off x="1990725" y="12725400"/>
          <a:ext cx="819150" cy="876301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B7294B24-D5DE-39D2-2C23-12633685982B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C338F1E1-F6D4-4695-E8A7-3FFC7B0E4E15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BD183E10-81A0-020E-8AA3-A3AE2FA34E1A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92529</xdr:colOff>
      <xdr:row>53</xdr:row>
      <xdr:rowOff>114300</xdr:rowOff>
    </xdr:from>
    <xdr:to>
      <xdr:col>5</xdr:col>
      <xdr:colOff>223158</xdr:colOff>
      <xdr:row>57</xdr:row>
      <xdr:rowOff>38101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8734E3F6-8A72-5F0A-C3F4-DD8713C6F79E}"/>
            </a:ext>
          </a:extLst>
        </xdr:cNvPr>
        <xdr:cNvGrpSpPr/>
      </xdr:nvGrpSpPr>
      <xdr:grpSpPr>
        <a:xfrm>
          <a:off x="2876550" y="12734925"/>
          <a:ext cx="819151" cy="876301"/>
          <a:chOff x="1045027" y="12524014"/>
          <a:chExt cx="827315" cy="859972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DBB3D555-7FF1-8E7B-93E6-F73857A1621F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68C76D61-08DD-99CE-77FB-BF47A25D0F82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CFD385FC-3FEB-B69A-D611-B8237192CF75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326572</xdr:colOff>
      <xdr:row>53</xdr:row>
      <xdr:rowOff>125186</xdr:rowOff>
    </xdr:from>
    <xdr:to>
      <xdr:col>6</xdr:col>
      <xdr:colOff>457202</xdr:colOff>
      <xdr:row>57</xdr:row>
      <xdr:rowOff>48987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C9C81EEA-2F81-3131-A507-74AB5487359F}"/>
            </a:ext>
          </a:extLst>
        </xdr:cNvPr>
        <xdr:cNvGrpSpPr/>
      </xdr:nvGrpSpPr>
      <xdr:grpSpPr>
        <a:xfrm>
          <a:off x="3800476" y="12744450"/>
          <a:ext cx="828676" cy="876301"/>
          <a:chOff x="1045027" y="12524014"/>
          <a:chExt cx="827315" cy="859972"/>
        </a:xfrm>
      </xdr:grpSpPr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44E3A956-137A-4340-3DFD-F8C06FC11452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FEF7B0A6-A102-AAFE-60F3-358C395F9608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5621A40A-4ABC-B722-5DD1-5C17BC812805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506185</xdr:colOff>
      <xdr:row>53</xdr:row>
      <xdr:rowOff>119743</xdr:rowOff>
    </xdr:from>
    <xdr:to>
      <xdr:col>7</xdr:col>
      <xdr:colOff>636814</xdr:colOff>
      <xdr:row>57</xdr:row>
      <xdr:rowOff>43544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5F9A4460-466A-4F2C-A880-28A7511DA1C3}"/>
            </a:ext>
          </a:extLst>
        </xdr:cNvPr>
        <xdr:cNvGrpSpPr/>
      </xdr:nvGrpSpPr>
      <xdr:grpSpPr>
        <a:xfrm>
          <a:off x="4676774" y="12744450"/>
          <a:ext cx="828676" cy="876301"/>
          <a:chOff x="1045027" y="12524014"/>
          <a:chExt cx="827315" cy="859972"/>
        </a:xfrm>
      </xdr:grpSpPr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0CF34F87-7410-E6B0-8235-D10C186211B7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36388EA3-CE9B-F651-B3EC-62827035F1C9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623C3A15-4A2B-4778-AFA6-DE79A23B7F0B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43542</xdr:colOff>
      <xdr:row>53</xdr:row>
      <xdr:rowOff>130629</xdr:rowOff>
    </xdr:from>
    <xdr:to>
      <xdr:col>9</xdr:col>
      <xdr:colOff>174172</xdr:colOff>
      <xdr:row>57</xdr:row>
      <xdr:rowOff>54430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C6F7CFD5-84BF-43D9-996C-B67373B62191}"/>
            </a:ext>
          </a:extLst>
        </xdr:cNvPr>
        <xdr:cNvGrpSpPr/>
      </xdr:nvGrpSpPr>
      <xdr:grpSpPr>
        <a:xfrm>
          <a:off x="5610224" y="12753975"/>
          <a:ext cx="819152" cy="876301"/>
          <a:chOff x="1045027" y="12524014"/>
          <a:chExt cx="827315" cy="859972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D77E1EF3-F742-81A8-70DD-D9F664A4AE15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329410B0-D3E4-72A4-6311-A387D3E80427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8BA02B77-9240-474A-589C-8310C09D99CF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234044</xdr:colOff>
      <xdr:row>53</xdr:row>
      <xdr:rowOff>136072</xdr:rowOff>
    </xdr:from>
    <xdr:to>
      <xdr:col>10</xdr:col>
      <xdr:colOff>364673</xdr:colOff>
      <xdr:row>57</xdr:row>
      <xdr:rowOff>59873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9CBA31D5-EB82-422E-9840-E1DBD29F565C}"/>
            </a:ext>
          </a:extLst>
        </xdr:cNvPr>
        <xdr:cNvGrpSpPr/>
      </xdr:nvGrpSpPr>
      <xdr:grpSpPr>
        <a:xfrm>
          <a:off x="6496051" y="12753976"/>
          <a:ext cx="819151" cy="876301"/>
          <a:chOff x="1045027" y="12524014"/>
          <a:chExt cx="827315" cy="859972"/>
        </a:xfrm>
      </xdr:grpSpPr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1E83D8E1-5765-06E8-5666-1B8D26A16213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50ECEC16-48A7-5827-F3F4-B142B3161E33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67EC3494-8A3E-007E-6132-808CB82D2B6B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468087</xdr:colOff>
      <xdr:row>53</xdr:row>
      <xdr:rowOff>146958</xdr:rowOff>
    </xdr:from>
    <xdr:to>
      <xdr:col>11</xdr:col>
      <xdr:colOff>598716</xdr:colOff>
      <xdr:row>57</xdr:row>
      <xdr:rowOff>70759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4A15F4F1-83B1-473F-8DC3-5E7B07F0F0DD}"/>
            </a:ext>
          </a:extLst>
        </xdr:cNvPr>
        <xdr:cNvGrpSpPr/>
      </xdr:nvGrpSpPr>
      <xdr:grpSpPr>
        <a:xfrm>
          <a:off x="7419976" y="12763501"/>
          <a:ext cx="828676" cy="876301"/>
          <a:chOff x="1045027" y="12524014"/>
          <a:chExt cx="827315" cy="859972"/>
        </a:xfrm>
      </xdr:grpSpPr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7AB6CEC1-6797-7DA0-2305-9E9F9ACAC814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EE76F8C9-3ABB-A0C2-1F04-1B38DA98EAFE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E5962A74-1809-2BCF-14D1-24998192DA70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359228</xdr:colOff>
      <xdr:row>57</xdr:row>
      <xdr:rowOff>92529</xdr:rowOff>
    </xdr:from>
    <xdr:to>
      <xdr:col>2</xdr:col>
      <xdr:colOff>489858</xdr:colOff>
      <xdr:row>61</xdr:row>
      <xdr:rowOff>16329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B35353DA-5EF7-4F6A-ABF1-BEC5743EA969}"/>
            </a:ext>
          </a:extLst>
        </xdr:cNvPr>
        <xdr:cNvGrpSpPr/>
      </xdr:nvGrpSpPr>
      <xdr:grpSpPr>
        <a:xfrm>
          <a:off x="1057274" y="13668375"/>
          <a:ext cx="819152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EBB149CB-F6BB-0CF4-7A7F-CBE9415E0920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D995F8E0-653D-A3FC-5EBD-B3333CAF4FF0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482A3815-714D-9CC7-D150-E42A0BA10CFB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593272</xdr:colOff>
      <xdr:row>57</xdr:row>
      <xdr:rowOff>103415</xdr:rowOff>
    </xdr:from>
    <xdr:to>
      <xdr:col>4</xdr:col>
      <xdr:colOff>27215</xdr:colOff>
      <xdr:row>61</xdr:row>
      <xdr:rowOff>27215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59E304D8-431E-4CD5-8895-C7A01955A620}"/>
            </a:ext>
          </a:extLst>
        </xdr:cNvPr>
        <xdr:cNvGrpSpPr/>
      </xdr:nvGrpSpPr>
      <xdr:grpSpPr>
        <a:xfrm>
          <a:off x="1981201" y="13677901"/>
          <a:ext cx="828675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62D13EF9-B7CB-0FC7-786A-EA5C0876E787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1D5C5C8A-BEB6-FEFE-F032-17F1943CF5CD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A3C4BE6B-B7D3-DFCB-E272-9587062A0FAA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87087</xdr:colOff>
      <xdr:row>57</xdr:row>
      <xdr:rowOff>108858</xdr:rowOff>
    </xdr:from>
    <xdr:to>
      <xdr:col>5</xdr:col>
      <xdr:colOff>217716</xdr:colOff>
      <xdr:row>61</xdr:row>
      <xdr:rowOff>32658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814187FB-1354-4C05-8E6C-9D9126BA3956}"/>
            </a:ext>
          </a:extLst>
        </xdr:cNvPr>
        <xdr:cNvGrpSpPr/>
      </xdr:nvGrpSpPr>
      <xdr:grpSpPr>
        <a:xfrm>
          <a:off x="2867026" y="13677901"/>
          <a:ext cx="828676" cy="876300"/>
          <a:chOff x="1045027" y="12524014"/>
          <a:chExt cx="827315" cy="859972"/>
        </a:xfrm>
      </xdr:grpSpPr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716CD7C1-2DB2-8BB0-57DA-346D34CCEB30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0965F126-E81A-79F2-823A-5E0DD39C0886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97" name="テキスト ボックス 96">
            <a:extLst>
              <a:ext uri="{FF2B5EF4-FFF2-40B4-BE49-F238E27FC236}">
                <a16:creationId xmlns:a16="http://schemas.microsoft.com/office/drawing/2014/main" id="{67BC2359-A4AC-6CC9-CF64-21BEC6637CAA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321130</xdr:colOff>
      <xdr:row>57</xdr:row>
      <xdr:rowOff>119744</xdr:rowOff>
    </xdr:from>
    <xdr:to>
      <xdr:col>6</xdr:col>
      <xdr:colOff>451760</xdr:colOff>
      <xdr:row>61</xdr:row>
      <xdr:rowOff>43544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38988CF9-DC7F-4E31-A589-9B28A9EEC9D6}"/>
            </a:ext>
          </a:extLst>
        </xdr:cNvPr>
        <xdr:cNvGrpSpPr/>
      </xdr:nvGrpSpPr>
      <xdr:grpSpPr>
        <a:xfrm>
          <a:off x="3800476" y="13696951"/>
          <a:ext cx="819152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311CE853-EF24-D66A-322A-0EE9C2B9AA83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7C631BF7-51AE-50F2-0BCF-822F0F74E555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F5123469-6A4E-88B4-CF63-21529939EBDB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500743</xdr:colOff>
      <xdr:row>57</xdr:row>
      <xdr:rowOff>114301</xdr:rowOff>
    </xdr:from>
    <xdr:to>
      <xdr:col>7</xdr:col>
      <xdr:colOff>631372</xdr:colOff>
      <xdr:row>61</xdr:row>
      <xdr:rowOff>38101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6B8563A4-04A3-4AFA-B7EC-CF596B43EE76}"/>
            </a:ext>
          </a:extLst>
        </xdr:cNvPr>
        <xdr:cNvGrpSpPr/>
      </xdr:nvGrpSpPr>
      <xdr:grpSpPr>
        <a:xfrm>
          <a:off x="4676775" y="13687426"/>
          <a:ext cx="819151" cy="876300"/>
          <a:chOff x="1045027" y="12524014"/>
          <a:chExt cx="827315" cy="859972"/>
        </a:xfrm>
      </xdr:grpSpPr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9B7B042C-927D-8325-C4F0-BA4384890CB8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9E2DA369-4F1C-5E74-6EAD-E1AC343FE118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959F3436-50FB-83CA-227E-1BCCE1FAF5C5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38100</xdr:colOff>
      <xdr:row>57</xdr:row>
      <xdr:rowOff>125187</xdr:rowOff>
    </xdr:from>
    <xdr:to>
      <xdr:col>9</xdr:col>
      <xdr:colOff>168730</xdr:colOff>
      <xdr:row>61</xdr:row>
      <xdr:rowOff>48987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AEBB1423-9ADE-4E1B-A5AA-DDA754D7C94B}"/>
            </a:ext>
          </a:extLst>
        </xdr:cNvPr>
        <xdr:cNvGrpSpPr/>
      </xdr:nvGrpSpPr>
      <xdr:grpSpPr>
        <a:xfrm>
          <a:off x="5600700" y="13696951"/>
          <a:ext cx="828676" cy="876300"/>
          <a:chOff x="1045027" y="12524014"/>
          <a:chExt cx="827315" cy="859972"/>
        </a:xfrm>
      </xdr:grpSpPr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A7345D0A-98AD-2E75-4A4D-EC5B52131103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6390308D-DA06-5243-7EE2-EF7641569902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CE3444B8-016F-A29C-7233-DEFC03CB3898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228602</xdr:colOff>
      <xdr:row>57</xdr:row>
      <xdr:rowOff>130630</xdr:rowOff>
    </xdr:from>
    <xdr:to>
      <xdr:col>10</xdr:col>
      <xdr:colOff>359231</xdr:colOff>
      <xdr:row>61</xdr:row>
      <xdr:rowOff>54430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13592A10-442A-43FB-8EA1-AAE6F8C017E7}"/>
            </a:ext>
          </a:extLst>
        </xdr:cNvPr>
        <xdr:cNvGrpSpPr/>
      </xdr:nvGrpSpPr>
      <xdr:grpSpPr>
        <a:xfrm>
          <a:off x="6486527" y="13706476"/>
          <a:ext cx="828675" cy="876300"/>
          <a:chOff x="1045027" y="12524014"/>
          <a:chExt cx="827315" cy="859972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7AD8F5CD-679D-BF90-2582-62EC609342A1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2CAD171E-33D9-3227-A9EE-42E27F3B36BB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8FC7E9EC-BAF0-6D8F-D0CE-8046581F7E82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462645</xdr:colOff>
      <xdr:row>57</xdr:row>
      <xdr:rowOff>141516</xdr:rowOff>
    </xdr:from>
    <xdr:to>
      <xdr:col>11</xdr:col>
      <xdr:colOff>593274</xdr:colOff>
      <xdr:row>61</xdr:row>
      <xdr:rowOff>65316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2BACDFCF-649C-4450-879F-2761165A1FE7}"/>
            </a:ext>
          </a:extLst>
        </xdr:cNvPr>
        <xdr:cNvGrpSpPr/>
      </xdr:nvGrpSpPr>
      <xdr:grpSpPr>
        <a:xfrm>
          <a:off x="7419977" y="13716002"/>
          <a:ext cx="819151" cy="876300"/>
          <a:chOff x="1045027" y="12524014"/>
          <a:chExt cx="827315" cy="859972"/>
        </a:xfrm>
      </xdr:grpSpPr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5E82BF8B-7B50-BB30-D399-B5CC2581205B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FB483C43-0939-1E13-56B0-E4CCEC3B6FA0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D6A070FE-8F92-0C3F-15DD-E8097C2FD158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348342</xdr:colOff>
      <xdr:row>61</xdr:row>
      <xdr:rowOff>76200</xdr:rowOff>
    </xdr:from>
    <xdr:to>
      <xdr:col>2</xdr:col>
      <xdr:colOff>478972</xdr:colOff>
      <xdr:row>65</xdr:row>
      <xdr:rowOff>1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411467D0-0D2F-46DD-905C-50CDAE9E1E4F}"/>
            </a:ext>
          </a:extLst>
        </xdr:cNvPr>
        <xdr:cNvGrpSpPr/>
      </xdr:nvGrpSpPr>
      <xdr:grpSpPr>
        <a:xfrm>
          <a:off x="1047749" y="14601825"/>
          <a:ext cx="819152" cy="876301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43081022-906C-4AEF-DEDB-083595F27B38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7ED60B41-E9A4-D4D4-80E8-85C8DEFEB96C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BA5D52B4-92B0-DBD5-9374-3A489D91BC34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582386</xdr:colOff>
      <xdr:row>61</xdr:row>
      <xdr:rowOff>87086</xdr:rowOff>
    </xdr:from>
    <xdr:to>
      <xdr:col>4</xdr:col>
      <xdr:colOff>16329</xdr:colOff>
      <xdr:row>65</xdr:row>
      <xdr:rowOff>10887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0CF1B747-D17A-4B3A-B58A-D7B3A8A1CD32}"/>
            </a:ext>
          </a:extLst>
        </xdr:cNvPr>
        <xdr:cNvGrpSpPr/>
      </xdr:nvGrpSpPr>
      <xdr:grpSpPr>
        <a:xfrm>
          <a:off x="1971675" y="14611350"/>
          <a:ext cx="828675" cy="876301"/>
          <a:chOff x="1045027" y="12524014"/>
          <a:chExt cx="827315" cy="859972"/>
        </a:xfrm>
      </xdr:grpSpPr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E423C804-0904-8DA6-97F3-4106E4986D9C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4" name="正方形/長方形 123">
            <a:extLst>
              <a:ext uri="{FF2B5EF4-FFF2-40B4-BE49-F238E27FC236}">
                <a16:creationId xmlns:a16="http://schemas.microsoft.com/office/drawing/2014/main" id="{81D3CF70-54CA-E6EF-EB38-A32D0183FC0E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25" name="テキスト ボックス 124">
            <a:extLst>
              <a:ext uri="{FF2B5EF4-FFF2-40B4-BE49-F238E27FC236}">
                <a16:creationId xmlns:a16="http://schemas.microsoft.com/office/drawing/2014/main" id="{8B0B5A98-D1FD-7597-7F93-22AEFF3C7BE1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76201</xdr:colOff>
      <xdr:row>61</xdr:row>
      <xdr:rowOff>92529</xdr:rowOff>
    </xdr:from>
    <xdr:to>
      <xdr:col>5</xdr:col>
      <xdr:colOff>206830</xdr:colOff>
      <xdr:row>65</xdr:row>
      <xdr:rowOff>16330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CD95B129-0BBC-4CF7-B6DA-EDF60C236EF7}"/>
            </a:ext>
          </a:extLst>
        </xdr:cNvPr>
        <xdr:cNvGrpSpPr/>
      </xdr:nvGrpSpPr>
      <xdr:grpSpPr>
        <a:xfrm>
          <a:off x="2857501" y="14620875"/>
          <a:ext cx="828675" cy="876301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778314EE-1A2E-D6E4-0370-7DBFF2368D30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87801AF0-4058-4A79-0967-E1EF3E52BF93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7DD2CDE2-C61B-EC41-0FA5-C032B729E818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310244</xdr:colOff>
      <xdr:row>61</xdr:row>
      <xdr:rowOff>103415</xdr:rowOff>
    </xdr:from>
    <xdr:to>
      <xdr:col>6</xdr:col>
      <xdr:colOff>440874</xdr:colOff>
      <xdr:row>65</xdr:row>
      <xdr:rowOff>27216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0A7265A8-9ED4-4BD1-A836-42C9C190608D}"/>
            </a:ext>
          </a:extLst>
        </xdr:cNvPr>
        <xdr:cNvGrpSpPr/>
      </xdr:nvGrpSpPr>
      <xdr:grpSpPr>
        <a:xfrm>
          <a:off x="3790951" y="14630401"/>
          <a:ext cx="819152" cy="876301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6910F5F0-7CCD-641A-E7BE-66FAAEE56024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DE1F19BF-08B6-5BBB-7FE3-1D188878B91A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33" name="テキスト ボックス 132">
            <a:extLst>
              <a:ext uri="{FF2B5EF4-FFF2-40B4-BE49-F238E27FC236}">
                <a16:creationId xmlns:a16="http://schemas.microsoft.com/office/drawing/2014/main" id="{42A17A9D-977E-BCF6-C6C8-6E55354CDA5C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489857</xdr:colOff>
      <xdr:row>61</xdr:row>
      <xdr:rowOff>97972</xdr:rowOff>
    </xdr:from>
    <xdr:to>
      <xdr:col>7</xdr:col>
      <xdr:colOff>620486</xdr:colOff>
      <xdr:row>65</xdr:row>
      <xdr:rowOff>21773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8524A69F-3333-4364-B467-940EB28AD3CD}"/>
            </a:ext>
          </a:extLst>
        </xdr:cNvPr>
        <xdr:cNvGrpSpPr/>
      </xdr:nvGrpSpPr>
      <xdr:grpSpPr>
        <a:xfrm>
          <a:off x="4657725" y="14620876"/>
          <a:ext cx="828675" cy="876301"/>
          <a:chOff x="1045027" y="12524014"/>
          <a:chExt cx="827315" cy="859972"/>
        </a:xfrm>
      </xdr:grpSpPr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EC1C55AD-B83D-836B-A09E-43524C8F306A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29D234D6-0926-A1F5-069C-7ACAE1E5C602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37" name="テキスト ボックス 136">
            <a:extLst>
              <a:ext uri="{FF2B5EF4-FFF2-40B4-BE49-F238E27FC236}">
                <a16:creationId xmlns:a16="http://schemas.microsoft.com/office/drawing/2014/main" id="{D486A15C-29EA-D0CD-2F34-1E900CF22F33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27214</xdr:colOff>
      <xdr:row>61</xdr:row>
      <xdr:rowOff>108858</xdr:rowOff>
    </xdr:from>
    <xdr:to>
      <xdr:col>9</xdr:col>
      <xdr:colOff>157844</xdr:colOff>
      <xdr:row>65</xdr:row>
      <xdr:rowOff>32659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401192AB-B591-413C-9BBC-79853103A03E}"/>
            </a:ext>
          </a:extLst>
        </xdr:cNvPr>
        <xdr:cNvGrpSpPr/>
      </xdr:nvGrpSpPr>
      <xdr:grpSpPr>
        <a:xfrm>
          <a:off x="5591175" y="14630401"/>
          <a:ext cx="828676" cy="876301"/>
          <a:chOff x="1045027" y="12524014"/>
          <a:chExt cx="827315" cy="859972"/>
        </a:xfrm>
      </xdr:grpSpPr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ECA95F82-6A3C-5A96-A240-242B76B12405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0D558401-15C1-B6EC-D0D2-D7C01A2E2CDA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5509AFD3-0584-13E3-8B8E-371C41869544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217716</xdr:colOff>
      <xdr:row>61</xdr:row>
      <xdr:rowOff>114301</xdr:rowOff>
    </xdr:from>
    <xdr:to>
      <xdr:col>10</xdr:col>
      <xdr:colOff>348345</xdr:colOff>
      <xdr:row>65</xdr:row>
      <xdr:rowOff>38102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2E7A9260-9803-4A22-98E5-9DA20043E3C2}"/>
            </a:ext>
          </a:extLst>
        </xdr:cNvPr>
        <xdr:cNvGrpSpPr/>
      </xdr:nvGrpSpPr>
      <xdr:grpSpPr>
        <a:xfrm>
          <a:off x="6477002" y="14639926"/>
          <a:ext cx="828675" cy="876301"/>
          <a:chOff x="1045027" y="12524014"/>
          <a:chExt cx="827315" cy="859972"/>
        </a:xfrm>
      </xdr:grpSpPr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BD51D8E0-4099-9C70-AF07-FEAB058D4BBF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4" name="正方形/長方形 143">
            <a:extLst>
              <a:ext uri="{FF2B5EF4-FFF2-40B4-BE49-F238E27FC236}">
                <a16:creationId xmlns:a16="http://schemas.microsoft.com/office/drawing/2014/main" id="{29138376-3388-1E6B-5E51-EE7493EB4A6F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7E66BACF-D707-5CAA-0853-72937A15D3C8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451759</xdr:colOff>
      <xdr:row>61</xdr:row>
      <xdr:rowOff>125187</xdr:rowOff>
    </xdr:from>
    <xdr:to>
      <xdr:col>11</xdr:col>
      <xdr:colOff>582388</xdr:colOff>
      <xdr:row>65</xdr:row>
      <xdr:rowOff>48988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C4D16EC8-CF44-4B14-AF36-5B6EBA7E17BD}"/>
            </a:ext>
          </a:extLst>
        </xdr:cNvPr>
        <xdr:cNvGrpSpPr/>
      </xdr:nvGrpSpPr>
      <xdr:grpSpPr>
        <a:xfrm>
          <a:off x="7400927" y="14649451"/>
          <a:ext cx="828675" cy="876301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CA1F6887-509A-AE59-2D73-B7C4B4F7B532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081F31AB-E2A6-7552-96B0-E89DA3154C24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49" name="テキスト ボックス 148">
            <a:extLst>
              <a:ext uri="{FF2B5EF4-FFF2-40B4-BE49-F238E27FC236}">
                <a16:creationId xmlns:a16="http://schemas.microsoft.com/office/drawing/2014/main" id="{3667CCD6-9D0E-49D1-95EC-1ECA5A45A703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353785</xdr:colOff>
      <xdr:row>65</xdr:row>
      <xdr:rowOff>108857</xdr:rowOff>
    </xdr:from>
    <xdr:to>
      <xdr:col>2</xdr:col>
      <xdr:colOff>484415</xdr:colOff>
      <xdr:row>69</xdr:row>
      <xdr:rowOff>32657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E6DBD713-77EC-43B9-B529-18E274D6D7F0}"/>
            </a:ext>
          </a:extLst>
        </xdr:cNvPr>
        <xdr:cNvGrpSpPr/>
      </xdr:nvGrpSpPr>
      <xdr:grpSpPr>
        <a:xfrm>
          <a:off x="1047749" y="15582900"/>
          <a:ext cx="828677" cy="876300"/>
          <a:chOff x="1045027" y="12524014"/>
          <a:chExt cx="827315" cy="859972"/>
        </a:xfrm>
      </xdr:grpSpPr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DE6582C2-E265-75D3-FD70-9E934AC9AC46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54563F01-8E5E-57F5-F64C-F0EEB47037FC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61" name="テキスト ボックス 160">
            <a:extLst>
              <a:ext uri="{FF2B5EF4-FFF2-40B4-BE49-F238E27FC236}">
                <a16:creationId xmlns:a16="http://schemas.microsoft.com/office/drawing/2014/main" id="{69DEA59D-6ABC-BD64-6D33-A3304C0A888F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587829</xdr:colOff>
      <xdr:row>65</xdr:row>
      <xdr:rowOff>119743</xdr:rowOff>
    </xdr:from>
    <xdr:to>
      <xdr:col>4</xdr:col>
      <xdr:colOff>21772</xdr:colOff>
      <xdr:row>69</xdr:row>
      <xdr:rowOff>43543</xdr:rowOff>
    </xdr:to>
    <xdr:grpSp>
      <xdr:nvGrpSpPr>
        <xdr:cNvPr id="162" name="グループ化 161">
          <a:extLst>
            <a:ext uri="{FF2B5EF4-FFF2-40B4-BE49-F238E27FC236}">
              <a16:creationId xmlns:a16="http://schemas.microsoft.com/office/drawing/2014/main" id="{4F9D0A4E-B5DD-4337-9BC5-92244B124F5A}"/>
            </a:ext>
          </a:extLst>
        </xdr:cNvPr>
        <xdr:cNvGrpSpPr/>
      </xdr:nvGrpSpPr>
      <xdr:grpSpPr>
        <a:xfrm>
          <a:off x="1981200" y="15601950"/>
          <a:ext cx="819151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0CD975CE-E594-D6D9-D4E1-BF2EB20A4ED2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4DDFAF13-B671-376E-20B9-3E5340D887AE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65" name="テキスト ボックス 164">
            <a:extLst>
              <a:ext uri="{FF2B5EF4-FFF2-40B4-BE49-F238E27FC236}">
                <a16:creationId xmlns:a16="http://schemas.microsoft.com/office/drawing/2014/main" id="{C31E0698-B4D9-FC2A-40A3-2111EB7440CB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81644</xdr:colOff>
      <xdr:row>65</xdr:row>
      <xdr:rowOff>125186</xdr:rowOff>
    </xdr:from>
    <xdr:to>
      <xdr:col>5</xdr:col>
      <xdr:colOff>212273</xdr:colOff>
      <xdr:row>69</xdr:row>
      <xdr:rowOff>48986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B1A600CF-0E54-4761-9F07-1E1AEEA911DE}"/>
            </a:ext>
          </a:extLst>
        </xdr:cNvPr>
        <xdr:cNvGrpSpPr/>
      </xdr:nvGrpSpPr>
      <xdr:grpSpPr>
        <a:xfrm>
          <a:off x="2867026" y="15601950"/>
          <a:ext cx="819151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67" name="正方形/長方形 166">
            <a:extLst>
              <a:ext uri="{FF2B5EF4-FFF2-40B4-BE49-F238E27FC236}">
                <a16:creationId xmlns:a16="http://schemas.microsoft.com/office/drawing/2014/main" id="{BF4BB1A4-E882-B128-BE60-882C0D8BC925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BC08E5FF-1977-12B0-0DC6-144B3F53DBA6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69" name="テキスト ボックス 168">
            <a:extLst>
              <a:ext uri="{FF2B5EF4-FFF2-40B4-BE49-F238E27FC236}">
                <a16:creationId xmlns:a16="http://schemas.microsoft.com/office/drawing/2014/main" id="{3CC0E346-213A-0A83-DBFD-902EB3F680E2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315687</xdr:colOff>
      <xdr:row>65</xdr:row>
      <xdr:rowOff>136072</xdr:rowOff>
    </xdr:from>
    <xdr:to>
      <xdr:col>6</xdr:col>
      <xdr:colOff>446317</xdr:colOff>
      <xdr:row>69</xdr:row>
      <xdr:rowOff>59872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CBB3991E-2B21-4B3E-AD23-A78607283054}"/>
            </a:ext>
          </a:extLst>
        </xdr:cNvPr>
        <xdr:cNvGrpSpPr/>
      </xdr:nvGrpSpPr>
      <xdr:grpSpPr>
        <a:xfrm>
          <a:off x="3790951" y="15611476"/>
          <a:ext cx="828677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C4A54972-0FF4-BEFD-0928-37B08BE84740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BFE58C6B-02A5-4DFD-CDD0-D6545176F640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73" name="テキスト ボックス 172">
            <a:extLst>
              <a:ext uri="{FF2B5EF4-FFF2-40B4-BE49-F238E27FC236}">
                <a16:creationId xmlns:a16="http://schemas.microsoft.com/office/drawing/2014/main" id="{ADE242B9-161C-83E8-4C07-78750413E031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495300</xdr:colOff>
      <xdr:row>65</xdr:row>
      <xdr:rowOff>130629</xdr:rowOff>
    </xdr:from>
    <xdr:to>
      <xdr:col>7</xdr:col>
      <xdr:colOff>625929</xdr:colOff>
      <xdr:row>69</xdr:row>
      <xdr:rowOff>54429</xdr:rowOff>
    </xdr:to>
    <xdr:grpSp>
      <xdr:nvGrpSpPr>
        <xdr:cNvPr id="174" name="グループ化 173">
          <a:extLst>
            <a:ext uri="{FF2B5EF4-FFF2-40B4-BE49-F238E27FC236}">
              <a16:creationId xmlns:a16="http://schemas.microsoft.com/office/drawing/2014/main" id="{37CD0ADE-323B-42FA-A566-DA636CF4C7E3}"/>
            </a:ext>
          </a:extLst>
        </xdr:cNvPr>
        <xdr:cNvGrpSpPr/>
      </xdr:nvGrpSpPr>
      <xdr:grpSpPr>
        <a:xfrm>
          <a:off x="4667250" y="15611475"/>
          <a:ext cx="828675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6EF08805-35F6-110A-034B-6ED592C35E90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474A2A58-4CA5-DFF7-2E71-B5D2EDE0ACDA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77" name="テキスト ボックス 176">
            <a:extLst>
              <a:ext uri="{FF2B5EF4-FFF2-40B4-BE49-F238E27FC236}">
                <a16:creationId xmlns:a16="http://schemas.microsoft.com/office/drawing/2014/main" id="{9A42E994-1782-7316-01EB-9B3ECAD0F609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32657</xdr:colOff>
      <xdr:row>65</xdr:row>
      <xdr:rowOff>141515</xdr:rowOff>
    </xdr:from>
    <xdr:to>
      <xdr:col>9</xdr:col>
      <xdr:colOff>163287</xdr:colOff>
      <xdr:row>69</xdr:row>
      <xdr:rowOff>65315</xdr:rowOff>
    </xdr:to>
    <xdr:grpSp>
      <xdr:nvGrpSpPr>
        <xdr:cNvPr id="178" name="グループ化 177">
          <a:extLst>
            <a:ext uri="{FF2B5EF4-FFF2-40B4-BE49-F238E27FC236}">
              <a16:creationId xmlns:a16="http://schemas.microsoft.com/office/drawing/2014/main" id="{4EFCDDF5-4619-44A5-A346-02B20AAB1088}"/>
            </a:ext>
          </a:extLst>
        </xdr:cNvPr>
        <xdr:cNvGrpSpPr/>
      </xdr:nvGrpSpPr>
      <xdr:grpSpPr>
        <a:xfrm>
          <a:off x="5591175" y="15621001"/>
          <a:ext cx="828676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79" name="正方形/長方形 178">
            <a:extLst>
              <a:ext uri="{FF2B5EF4-FFF2-40B4-BE49-F238E27FC236}">
                <a16:creationId xmlns:a16="http://schemas.microsoft.com/office/drawing/2014/main" id="{17560923-AB54-0435-7754-73A411D2759E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49776EB0-EFBB-2181-D7D6-31A38115C2CF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83798AC1-331E-CDFE-B863-16847A5474F3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223159</xdr:colOff>
      <xdr:row>65</xdr:row>
      <xdr:rowOff>146958</xdr:rowOff>
    </xdr:from>
    <xdr:to>
      <xdr:col>10</xdr:col>
      <xdr:colOff>353788</xdr:colOff>
      <xdr:row>69</xdr:row>
      <xdr:rowOff>70758</xdr:rowOff>
    </xdr:to>
    <xdr:grpSp>
      <xdr:nvGrpSpPr>
        <xdr:cNvPr id="182" name="グループ化 181">
          <a:extLst>
            <a:ext uri="{FF2B5EF4-FFF2-40B4-BE49-F238E27FC236}">
              <a16:creationId xmlns:a16="http://schemas.microsoft.com/office/drawing/2014/main" id="{F16761A4-C928-48EB-A807-42E33F99D7E6}"/>
            </a:ext>
          </a:extLst>
        </xdr:cNvPr>
        <xdr:cNvGrpSpPr/>
      </xdr:nvGrpSpPr>
      <xdr:grpSpPr>
        <a:xfrm>
          <a:off x="6477002" y="15621001"/>
          <a:ext cx="828675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0E10BB24-07BC-608B-1A31-B52864401D4D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4" name="正方形/長方形 183">
            <a:extLst>
              <a:ext uri="{FF2B5EF4-FFF2-40B4-BE49-F238E27FC236}">
                <a16:creationId xmlns:a16="http://schemas.microsoft.com/office/drawing/2014/main" id="{972B84A3-74E3-880D-8151-278F53284314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石头</a:t>
            </a:r>
            <a:endParaRPr kumimoji="1" lang="ja-JP" altLang="en-US" sz="1100"/>
          </a:p>
        </xdr:txBody>
      </xdr: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025B7010-AC9C-FA85-AD2B-78954321E759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457202</xdr:colOff>
      <xdr:row>65</xdr:row>
      <xdr:rowOff>157844</xdr:rowOff>
    </xdr:from>
    <xdr:to>
      <xdr:col>11</xdr:col>
      <xdr:colOff>587831</xdr:colOff>
      <xdr:row>69</xdr:row>
      <xdr:rowOff>81644</xdr:rowOff>
    </xdr:to>
    <xdr:grpSp>
      <xdr:nvGrpSpPr>
        <xdr:cNvPr id="186" name="グループ化 185">
          <a:extLst>
            <a:ext uri="{FF2B5EF4-FFF2-40B4-BE49-F238E27FC236}">
              <a16:creationId xmlns:a16="http://schemas.microsoft.com/office/drawing/2014/main" id="{6F51F26E-963B-489A-9EF0-0FE5801C2E42}"/>
            </a:ext>
          </a:extLst>
        </xdr:cNvPr>
        <xdr:cNvGrpSpPr/>
      </xdr:nvGrpSpPr>
      <xdr:grpSpPr>
        <a:xfrm>
          <a:off x="7410452" y="15640051"/>
          <a:ext cx="828675" cy="876300"/>
          <a:chOff x="1045027" y="12524014"/>
          <a:chExt cx="827315" cy="859972"/>
        </a:xfrm>
        <a:solidFill>
          <a:schemeClr val="bg1">
            <a:lumMod val="65000"/>
          </a:schemeClr>
        </a:solidFill>
      </xdr:grpSpPr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B167713B-D6F4-9B5B-2AD3-B5C3ECE60587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8" name="正方形/長方形 187">
            <a:extLst>
              <a:ext uri="{FF2B5EF4-FFF2-40B4-BE49-F238E27FC236}">
                <a16:creationId xmlns:a16="http://schemas.microsoft.com/office/drawing/2014/main" id="{125BA7EC-38B3-C433-22E1-0AFCC2A2D1FC}"/>
              </a:ext>
            </a:extLst>
          </xdr:cNvPr>
          <xdr:cNvSpPr/>
        </xdr:nvSpPr>
        <xdr:spPr>
          <a:xfrm>
            <a:off x="1083129" y="12583886"/>
            <a:ext cx="707571" cy="506185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zh-CN" altLang="en-US" sz="1100"/>
              <a:t>剪刀</a:t>
            </a:r>
            <a:endParaRPr kumimoji="1" lang="ja-JP" altLang="en-US" sz="1100"/>
          </a:p>
        </xdr:txBody>
      </xdr:sp>
      <xdr:sp macro="" textlink="">
        <xdr:nvSpPr>
          <xdr:cNvPr id="189" name="テキスト ボックス 188">
            <a:extLst>
              <a:ext uri="{FF2B5EF4-FFF2-40B4-BE49-F238E27FC236}">
                <a16:creationId xmlns:a16="http://schemas.microsoft.com/office/drawing/2014/main" id="{700F6A14-DB28-CE57-8D4B-8AD4381D69B4}"/>
              </a:ext>
            </a:extLst>
          </xdr:cNvPr>
          <xdr:cNvSpPr txBox="1"/>
        </xdr:nvSpPr>
        <xdr:spPr>
          <a:xfrm>
            <a:off x="1115786" y="13155386"/>
            <a:ext cx="642257" cy="217714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zh-CN" sz="1100"/>
              <a:t>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370114</xdr:colOff>
      <xdr:row>59</xdr:row>
      <xdr:rowOff>223157</xdr:rowOff>
    </xdr:from>
    <xdr:to>
      <xdr:col>8</xdr:col>
      <xdr:colOff>163284</xdr:colOff>
      <xdr:row>63</xdr:row>
      <xdr:rowOff>5444</xdr:rowOff>
    </xdr:to>
    <xdr:sp macro="" textlink="">
      <xdr:nvSpPr>
        <xdr:cNvPr id="190" name="正方形/長方形 189">
          <a:extLst>
            <a:ext uri="{FF2B5EF4-FFF2-40B4-BE49-F238E27FC236}">
              <a16:creationId xmlns:a16="http://schemas.microsoft.com/office/drawing/2014/main" id="{0F32B521-D332-07DF-7548-21B39CA0378E}"/>
            </a:ext>
          </a:extLst>
        </xdr:cNvPr>
        <xdr:cNvSpPr/>
      </xdr:nvSpPr>
      <xdr:spPr>
        <a:xfrm>
          <a:off x="3853543" y="14053457"/>
          <a:ext cx="1883227" cy="71845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600">
              <a:solidFill>
                <a:schemeClr val="tx1"/>
              </a:solidFill>
            </a:rPr>
            <a:t>5</a:t>
          </a:r>
          <a:endParaRPr kumimoji="1" lang="ja-JP" altLang="en-US" sz="6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272142</xdr:colOff>
      <xdr:row>54</xdr:row>
      <xdr:rowOff>195942</xdr:rowOff>
    </xdr:from>
    <xdr:to>
      <xdr:col>5</xdr:col>
      <xdr:colOff>54428</xdr:colOff>
      <xdr:row>56</xdr:row>
      <xdr:rowOff>38100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318518F9-DCE1-A05B-4F16-DDE09D4406F7}"/>
            </a:ext>
          </a:extLst>
        </xdr:cNvPr>
        <xdr:cNvSpPr txBox="1"/>
      </xdr:nvSpPr>
      <xdr:spPr>
        <a:xfrm>
          <a:off x="3058885" y="12856028"/>
          <a:ext cx="478972" cy="31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/>
            <a:t>WIN</a:t>
          </a:r>
          <a:endParaRPr kumimoji="1" lang="ja-JP" altLang="en-US" sz="1100"/>
        </a:p>
      </xdr:txBody>
    </xdr:sp>
    <xdr:clientData/>
  </xdr:twoCellAnchor>
  <xdr:twoCellAnchor>
    <xdr:from>
      <xdr:col>5</xdr:col>
      <xdr:colOff>506185</xdr:colOff>
      <xdr:row>54</xdr:row>
      <xdr:rowOff>228599</xdr:rowOff>
    </xdr:from>
    <xdr:to>
      <xdr:col>6</xdr:col>
      <xdr:colOff>288472</xdr:colOff>
      <xdr:row>56</xdr:row>
      <xdr:rowOff>70757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32DDA6AD-53E7-9CC2-6C91-03C6B870FED1}"/>
            </a:ext>
          </a:extLst>
        </xdr:cNvPr>
        <xdr:cNvSpPr txBox="1"/>
      </xdr:nvSpPr>
      <xdr:spPr>
        <a:xfrm>
          <a:off x="3989614" y="12888685"/>
          <a:ext cx="478972" cy="31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/>
            <a:t>WIN</a:t>
          </a:r>
          <a:endParaRPr kumimoji="1" lang="ja-JP" altLang="en-US" sz="1100"/>
        </a:p>
      </xdr:txBody>
    </xdr:sp>
    <xdr:clientData/>
  </xdr:twoCellAnchor>
  <xdr:twoCellAnchor>
    <xdr:from>
      <xdr:col>6</xdr:col>
      <xdr:colOff>642257</xdr:colOff>
      <xdr:row>54</xdr:row>
      <xdr:rowOff>223157</xdr:rowOff>
    </xdr:from>
    <xdr:to>
      <xdr:col>7</xdr:col>
      <xdr:colOff>424543</xdr:colOff>
      <xdr:row>56</xdr:row>
      <xdr:rowOff>65315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E5996FCE-8937-5ADD-6E70-FE0A90907B75}"/>
            </a:ext>
          </a:extLst>
        </xdr:cNvPr>
        <xdr:cNvSpPr txBox="1"/>
      </xdr:nvSpPr>
      <xdr:spPr>
        <a:xfrm>
          <a:off x="4822371" y="12883243"/>
          <a:ext cx="478972" cy="31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/>
            <a:t>WIN</a:t>
          </a:r>
          <a:endParaRPr kumimoji="1" lang="ja-JP" altLang="en-US" sz="1100"/>
        </a:p>
      </xdr:txBody>
    </xdr:sp>
    <xdr:clientData/>
  </xdr:twoCellAnchor>
  <xdr:twoCellAnchor>
    <xdr:from>
      <xdr:col>8</xdr:col>
      <xdr:colOff>212271</xdr:colOff>
      <xdr:row>55</xdr:row>
      <xdr:rowOff>27214</xdr:rowOff>
    </xdr:from>
    <xdr:to>
      <xdr:col>8</xdr:col>
      <xdr:colOff>691243</xdr:colOff>
      <xdr:row>56</xdr:row>
      <xdr:rowOff>103415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280300DD-FD60-8C83-16DF-6D70659369DC}"/>
            </a:ext>
          </a:extLst>
        </xdr:cNvPr>
        <xdr:cNvSpPr txBox="1"/>
      </xdr:nvSpPr>
      <xdr:spPr>
        <a:xfrm>
          <a:off x="5785757" y="12921343"/>
          <a:ext cx="478972" cy="31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/>
            <a:t>WIN</a:t>
          </a:r>
          <a:endParaRPr kumimoji="1" lang="ja-JP" altLang="en-US" sz="1100"/>
        </a:p>
      </xdr:txBody>
    </xdr:sp>
    <xdr:clientData/>
  </xdr:twoCellAnchor>
  <xdr:twoCellAnchor>
    <xdr:from>
      <xdr:col>9</xdr:col>
      <xdr:colOff>408214</xdr:colOff>
      <xdr:row>55</xdr:row>
      <xdr:rowOff>21772</xdr:rowOff>
    </xdr:from>
    <xdr:to>
      <xdr:col>10</xdr:col>
      <xdr:colOff>190500</xdr:colOff>
      <xdr:row>56</xdr:row>
      <xdr:rowOff>97973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F5627D77-9CAB-C189-DA48-0ABE79CFFE87}"/>
            </a:ext>
          </a:extLst>
        </xdr:cNvPr>
        <xdr:cNvSpPr txBox="1"/>
      </xdr:nvSpPr>
      <xdr:spPr>
        <a:xfrm>
          <a:off x="6678385" y="12915901"/>
          <a:ext cx="478972" cy="31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/>
            <a:t>WIN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625928</xdr:colOff>
      <xdr:row>55</xdr:row>
      <xdr:rowOff>10886</xdr:rowOff>
    </xdr:from>
    <xdr:to>
      <xdr:col>11</xdr:col>
      <xdr:colOff>408214</xdr:colOff>
      <xdr:row>56</xdr:row>
      <xdr:rowOff>87087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C443755E-206B-7802-A986-D3298A62AAF4}"/>
            </a:ext>
          </a:extLst>
        </xdr:cNvPr>
        <xdr:cNvSpPr txBox="1"/>
      </xdr:nvSpPr>
      <xdr:spPr>
        <a:xfrm>
          <a:off x="7592785" y="12905015"/>
          <a:ext cx="478972" cy="31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/>
            <a:t>WIN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114300</xdr:colOff>
      <xdr:row>78</xdr:row>
      <xdr:rowOff>103414</xdr:rowOff>
    </xdr:from>
    <xdr:to>
      <xdr:col>8</xdr:col>
      <xdr:colOff>620485</xdr:colOff>
      <xdr:row>87</xdr:row>
      <xdr:rowOff>103413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2C260D6D-5355-4D01-80AB-3F66493B4C0B}"/>
            </a:ext>
          </a:extLst>
        </xdr:cNvPr>
        <xdr:cNvGrpSpPr/>
      </xdr:nvGrpSpPr>
      <xdr:grpSpPr>
        <a:xfrm>
          <a:off x="2895600" y="18688050"/>
          <a:ext cx="3286124" cy="2143124"/>
          <a:chOff x="1045027" y="12524014"/>
          <a:chExt cx="827315" cy="859972"/>
        </a:xfrm>
      </xdr:grpSpPr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BFADDD7B-45C5-AD15-C413-1484B2A5D122}"/>
              </a:ext>
            </a:extLst>
          </xdr:cNvPr>
          <xdr:cNvSpPr/>
        </xdr:nvSpPr>
        <xdr:spPr>
          <a:xfrm>
            <a:off x="1045027" y="12524014"/>
            <a:ext cx="827315" cy="859972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6F166506-0717-583D-043F-6CC34A62E2A1}"/>
              </a:ext>
            </a:extLst>
          </xdr:cNvPr>
          <xdr:cNvSpPr txBox="1"/>
        </xdr:nvSpPr>
        <xdr:spPr>
          <a:xfrm>
            <a:off x="1132195" y="12624292"/>
            <a:ext cx="642257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zh-CN" sz="1100"/>
              <a:t>XXXXXXX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473528</xdr:colOff>
      <xdr:row>83</xdr:row>
      <xdr:rowOff>163284</xdr:rowOff>
    </xdr:from>
    <xdr:to>
      <xdr:col>8</xdr:col>
      <xdr:colOff>243134</xdr:colOff>
      <xdr:row>85</xdr:row>
      <xdr:rowOff>228460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D6B5C0F3-6CF2-4C33-8D6D-7756D3AA0665}"/>
            </a:ext>
          </a:extLst>
        </xdr:cNvPr>
        <xdr:cNvSpPr txBox="1"/>
      </xdr:nvSpPr>
      <xdr:spPr>
        <a:xfrm>
          <a:off x="3260271" y="19610613"/>
          <a:ext cx="2556349" cy="533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zh-CN" sz="1100"/>
            <a:t>WIN</a:t>
          </a:r>
          <a:r>
            <a:rPr kumimoji="1" lang="zh-CN" altLang="en-US" sz="1100"/>
            <a:t>：</a:t>
          </a:r>
          <a:r>
            <a:rPr kumimoji="1" lang="en-US" altLang="zh-CN" sz="1100"/>
            <a:t>9999999</a:t>
          </a:r>
          <a:endParaRPr kumimoji="1" lang="ja-JP" altLang="en-US" sz="1100"/>
        </a:p>
      </xdr:txBody>
    </xdr:sp>
    <xdr:clientData/>
  </xdr:twoCellAnchor>
  <xdr:twoCellAnchor>
    <xdr:from>
      <xdr:col>5</xdr:col>
      <xdr:colOff>125185</xdr:colOff>
      <xdr:row>79</xdr:row>
      <xdr:rowOff>32657</xdr:rowOff>
    </xdr:from>
    <xdr:to>
      <xdr:col>7</xdr:col>
      <xdr:colOff>615041</xdr:colOff>
      <xdr:row>82</xdr:row>
      <xdr:rowOff>48986</xdr:rowOff>
    </xdr:to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8F53AA27-320D-4C84-B2E2-53BE00A01F7B}"/>
            </a:ext>
          </a:extLst>
        </xdr:cNvPr>
        <xdr:cNvSpPr/>
      </xdr:nvSpPr>
      <xdr:spPr>
        <a:xfrm>
          <a:off x="3608614" y="18576471"/>
          <a:ext cx="1883227" cy="71845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600">
              <a:solidFill>
                <a:schemeClr val="tx1"/>
              </a:solidFill>
            </a:rPr>
            <a:t>5</a:t>
          </a:r>
          <a:endParaRPr kumimoji="1" lang="ja-JP" altLang="en-US" sz="6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2</xdr:row>
      <xdr:rowOff>201386</xdr:rowOff>
    </xdr:from>
    <xdr:to>
      <xdr:col>5</xdr:col>
      <xdr:colOff>370114</xdr:colOff>
      <xdr:row>10</xdr:row>
      <xdr:rowOff>54429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070817-EA20-AF07-B299-7E50FACE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669472"/>
          <a:ext cx="6961414" cy="1725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CACD-33CA-4240-BF99-2AEF4AF7768A}">
  <dimension ref="A1"/>
  <sheetViews>
    <sheetView workbookViewId="0">
      <selection activeCell="Q23" sqref="Q23"/>
    </sheetView>
  </sheetViews>
  <sheetFormatPr defaultRowHeight="18.45" x14ac:dyDescent="0.65"/>
  <sheetData/>
  <phoneticPr fontId="3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B87F-4D02-4203-BEE6-1439CEB2C7A6}">
  <dimension ref="C2:CC60"/>
  <sheetViews>
    <sheetView workbookViewId="0">
      <selection activeCell="P34" sqref="P34"/>
    </sheetView>
  </sheetViews>
  <sheetFormatPr defaultColWidth="2.640625" defaultRowHeight="18.45" x14ac:dyDescent="0.65"/>
  <sheetData>
    <row r="2" spans="3:79" x14ac:dyDescent="0.6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4"/>
      <c r="BE2" s="2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</row>
    <row r="3" spans="3:79" x14ac:dyDescent="0.65">
      <c r="C3" s="5"/>
      <c r="D3" s="58" t="s">
        <v>3</v>
      </c>
      <c r="E3" s="58"/>
      <c r="F3" s="58"/>
      <c r="G3" s="58"/>
      <c r="H3" s="58"/>
      <c r="I3" s="5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6"/>
      <c r="AC3" s="5"/>
      <c r="AD3" s="58" t="s">
        <v>3</v>
      </c>
      <c r="AE3" s="58"/>
      <c r="AF3" s="58"/>
      <c r="AG3" s="58"/>
      <c r="AH3" s="58"/>
      <c r="AI3" s="58"/>
      <c r="AJ3" s="1"/>
      <c r="AK3" s="1"/>
      <c r="AL3" s="1"/>
      <c r="AM3" s="1"/>
      <c r="AN3" s="1"/>
      <c r="AO3" s="1"/>
      <c r="AP3" s="1"/>
      <c r="AQ3" s="1"/>
      <c r="AR3" s="1"/>
      <c r="AS3" s="1"/>
      <c r="AT3" s="10" t="s">
        <v>5</v>
      </c>
      <c r="AU3" s="1"/>
      <c r="AV3" s="1"/>
      <c r="AW3" s="1"/>
      <c r="AX3" s="58" t="s">
        <v>2</v>
      </c>
      <c r="AY3" s="58"/>
      <c r="AZ3" s="58"/>
      <c r="BA3" s="6"/>
      <c r="BE3" s="5"/>
      <c r="BF3" s="58" t="s">
        <v>3</v>
      </c>
      <c r="BG3" s="58"/>
      <c r="BH3" s="58"/>
      <c r="BI3" s="58"/>
      <c r="BJ3" s="58"/>
      <c r="BK3" s="58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6"/>
    </row>
    <row r="4" spans="3:79" x14ac:dyDescent="0.65">
      <c r="C4" s="5"/>
      <c r="D4" s="58"/>
      <c r="E4" s="58"/>
      <c r="F4" s="58"/>
      <c r="G4" s="58"/>
      <c r="H4" s="58"/>
      <c r="I4" s="5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6"/>
      <c r="AC4" s="5"/>
      <c r="AD4" s="58"/>
      <c r="AE4" s="58"/>
      <c r="AF4" s="58"/>
      <c r="AG4" s="58"/>
      <c r="AH4" s="58"/>
      <c r="AI4" s="58"/>
      <c r="AJ4" s="10" t="s">
        <v>4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6"/>
      <c r="BE4" s="5"/>
      <c r="BF4" s="58"/>
      <c r="BG4" s="58"/>
      <c r="BH4" s="58"/>
      <c r="BI4" s="58"/>
      <c r="BJ4" s="58"/>
      <c r="BK4" s="58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6"/>
    </row>
    <row r="5" spans="3:79" x14ac:dyDescent="0.65"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6"/>
      <c r="AC5" s="5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6"/>
      <c r="BE5" s="5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6"/>
    </row>
    <row r="6" spans="3:79" x14ac:dyDescent="0.65"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6"/>
      <c r="AC6" s="5"/>
      <c r="AD6" s="58" t="s">
        <v>6</v>
      </c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6"/>
      <c r="BE6" s="5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6"/>
    </row>
    <row r="7" spans="3:79" x14ac:dyDescent="0.65"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6"/>
      <c r="AC7" s="5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6"/>
      <c r="BE7" s="5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6"/>
    </row>
    <row r="8" spans="3:79" x14ac:dyDescent="0.65">
      <c r="C8" s="5"/>
      <c r="D8" s="1"/>
      <c r="E8" s="1"/>
      <c r="F8" s="1"/>
      <c r="G8" s="10" t="s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6"/>
      <c r="AC8" s="5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6"/>
      <c r="BE8" s="5"/>
      <c r="BF8" s="1"/>
      <c r="BG8" s="1"/>
      <c r="BH8" s="1"/>
      <c r="BI8" s="10" t="s">
        <v>16</v>
      </c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6"/>
    </row>
    <row r="9" spans="3:79" x14ac:dyDescent="0.65">
      <c r="C9" s="5"/>
      <c r="D9" s="1"/>
      <c r="E9" s="1"/>
      <c r="F9" s="1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  <c r="T9" s="1"/>
      <c r="U9" s="1"/>
      <c r="V9" s="1"/>
      <c r="W9" s="1"/>
      <c r="X9" s="1"/>
      <c r="Y9" s="6"/>
      <c r="AC9" s="5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6"/>
      <c r="BE9" s="5"/>
      <c r="BF9" s="1"/>
      <c r="BG9" s="1"/>
      <c r="BH9" s="1"/>
      <c r="BI9" s="2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4"/>
      <c r="BV9" s="1"/>
      <c r="BW9" s="1"/>
      <c r="BX9" s="1"/>
      <c r="BY9" s="1"/>
      <c r="BZ9" s="1"/>
      <c r="CA9" s="6"/>
    </row>
    <row r="10" spans="3:79" x14ac:dyDescent="0.65">
      <c r="C10" s="5"/>
      <c r="D10" s="1"/>
      <c r="E10" s="1"/>
      <c r="F10" s="1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1"/>
      <c r="U10" s="1"/>
      <c r="V10" s="1"/>
      <c r="W10" s="1"/>
      <c r="X10" s="1"/>
      <c r="Y10" s="6"/>
      <c r="AC10" s="5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6"/>
      <c r="BE10" s="5"/>
      <c r="BF10" s="1"/>
      <c r="BG10" s="1"/>
      <c r="BH10" s="1"/>
      <c r="BI10" s="7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9"/>
      <c r="BV10" s="1"/>
      <c r="BW10" s="1"/>
      <c r="BX10" s="1"/>
      <c r="BY10" s="1"/>
      <c r="BZ10" s="1"/>
      <c r="CA10" s="6"/>
    </row>
    <row r="11" spans="3:79" x14ac:dyDescent="0.65"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6"/>
      <c r="AC11" s="5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6"/>
      <c r="BE11" s="5"/>
      <c r="BF11" s="1"/>
      <c r="BG11" s="1"/>
      <c r="BH11" s="1"/>
      <c r="BI11" s="10" t="s">
        <v>15</v>
      </c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6"/>
    </row>
    <row r="12" spans="3:79" x14ac:dyDescent="0.65">
      <c r="C12" s="5"/>
      <c r="D12" s="1"/>
      <c r="E12" s="1"/>
      <c r="F12" s="1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  <c r="T12" s="1"/>
      <c r="U12" s="1"/>
      <c r="V12" s="1"/>
      <c r="W12" s="1"/>
      <c r="X12" s="1"/>
      <c r="Y12" s="6"/>
      <c r="AC12" s="5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6"/>
      <c r="BE12" s="5"/>
      <c r="BF12" s="1"/>
      <c r="BG12" s="1"/>
      <c r="BH12" s="1"/>
      <c r="BI12" s="2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4"/>
      <c r="BV12" s="1"/>
      <c r="BW12" s="1"/>
      <c r="BX12" s="1"/>
      <c r="BY12" s="1"/>
      <c r="BZ12" s="1"/>
      <c r="CA12" s="6"/>
    </row>
    <row r="13" spans="3:79" x14ac:dyDescent="0.65">
      <c r="C13" s="5"/>
      <c r="D13" s="1"/>
      <c r="E13" s="1"/>
      <c r="F13" s="1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1"/>
      <c r="U13" s="1"/>
      <c r="V13" s="1"/>
      <c r="W13" s="1"/>
      <c r="X13" s="1"/>
      <c r="Y13" s="6"/>
      <c r="AC13" s="5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6"/>
      <c r="BE13" s="5"/>
      <c r="BF13" s="1"/>
      <c r="BG13" s="1"/>
      <c r="BH13" s="1"/>
      <c r="BI13" s="7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9"/>
      <c r="BV13" s="1"/>
      <c r="BW13" s="1"/>
      <c r="BX13" s="1"/>
      <c r="BY13" s="1"/>
      <c r="BZ13" s="1"/>
      <c r="CA13" s="6"/>
    </row>
    <row r="14" spans="3:79" x14ac:dyDescent="0.65"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6"/>
      <c r="AC14" s="5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6"/>
      <c r="BE14" s="5"/>
      <c r="BF14" s="1"/>
      <c r="BG14" s="1"/>
      <c r="BH14" s="1"/>
      <c r="BI14" s="10" t="s">
        <v>7</v>
      </c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6"/>
    </row>
    <row r="15" spans="3:79" x14ac:dyDescent="0.65">
      <c r="C15" s="5"/>
      <c r="D15" s="1"/>
      <c r="E15" s="1"/>
      <c r="F15" s="1"/>
      <c r="G15" s="11"/>
      <c r="H15" s="10" t="s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6"/>
      <c r="AC15" s="5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6"/>
      <c r="BE15" s="5"/>
      <c r="BF15" s="1"/>
      <c r="BG15" s="1"/>
      <c r="BH15" s="1"/>
      <c r="BI15" s="2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4"/>
      <c r="BV15" s="1"/>
      <c r="BW15" s="1"/>
      <c r="BX15" s="1"/>
      <c r="BY15" s="1"/>
      <c r="BZ15" s="1"/>
      <c r="CA15" s="6"/>
    </row>
    <row r="16" spans="3:79" x14ac:dyDescent="0.65"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6"/>
      <c r="AC16" s="5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6"/>
      <c r="BE16" s="5"/>
      <c r="BF16" s="1"/>
      <c r="BG16" s="1"/>
      <c r="BH16" s="1"/>
      <c r="BI16" s="7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9"/>
      <c r="BV16" s="1"/>
      <c r="BW16" s="1"/>
      <c r="BX16" s="1"/>
      <c r="BY16" s="1"/>
      <c r="BZ16" s="1"/>
      <c r="CA16" s="6"/>
    </row>
    <row r="17" spans="3:81" x14ac:dyDescent="0.65">
      <c r="C17" s="5"/>
      <c r="D17" s="1"/>
      <c r="E17" s="1"/>
      <c r="F17" s="1"/>
      <c r="G17" s="58" t="s">
        <v>2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1"/>
      <c r="U17" s="1"/>
      <c r="V17" s="1"/>
      <c r="W17" s="1"/>
      <c r="X17" s="1"/>
      <c r="Y17" s="6"/>
      <c r="AC17" s="5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6"/>
      <c r="BE17" s="5"/>
      <c r="BF17" s="1"/>
      <c r="BG17" s="1"/>
      <c r="BH17" s="1"/>
      <c r="BI17" s="10" t="s">
        <v>8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6"/>
    </row>
    <row r="18" spans="3:81" x14ac:dyDescent="0.65">
      <c r="C18" s="5"/>
      <c r="D18" s="1"/>
      <c r="E18" s="1"/>
      <c r="F18" s="1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1"/>
      <c r="U18" s="1"/>
      <c r="V18" s="1"/>
      <c r="W18" s="1"/>
      <c r="X18" s="1"/>
      <c r="Y18" s="6"/>
      <c r="AC18" s="5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6"/>
      <c r="BE18" s="5"/>
      <c r="BF18" s="1"/>
      <c r="BG18" s="1"/>
      <c r="BH18" s="1"/>
      <c r="BI18" s="2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4"/>
      <c r="BV18" s="1"/>
      <c r="BW18" s="1"/>
      <c r="BX18" s="1"/>
      <c r="BY18" s="1"/>
      <c r="BZ18" s="1"/>
      <c r="CA18" s="6"/>
    </row>
    <row r="19" spans="3:81" x14ac:dyDescent="0.65"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6"/>
      <c r="AC19" s="5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6"/>
      <c r="BE19" s="5"/>
      <c r="BF19" s="1"/>
      <c r="BG19" s="1"/>
      <c r="BH19" s="1"/>
      <c r="BI19" s="7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9"/>
      <c r="BV19" s="1"/>
      <c r="BW19" s="1"/>
      <c r="BX19" s="1"/>
      <c r="BY19" s="1"/>
      <c r="BZ19" s="1"/>
      <c r="CA19" s="6"/>
    </row>
    <row r="20" spans="3:81" x14ac:dyDescent="0.65"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6"/>
      <c r="AC20" s="5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6"/>
      <c r="BE20" s="5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6"/>
    </row>
    <row r="21" spans="3:81" x14ac:dyDescent="0.65"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6"/>
      <c r="AC21" s="5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6"/>
      <c r="BE21" s="5"/>
      <c r="BF21" s="1"/>
      <c r="BG21" s="1"/>
      <c r="BH21" s="1"/>
      <c r="BI21" s="58" t="s">
        <v>2</v>
      </c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1"/>
      <c r="BW21" s="1"/>
      <c r="BX21" s="1"/>
      <c r="BY21" s="1"/>
      <c r="BZ21" s="1"/>
      <c r="CA21" s="6"/>
    </row>
    <row r="22" spans="3:81" x14ac:dyDescent="0.65"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6"/>
      <c r="AC22" s="5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6"/>
      <c r="BE22" s="5"/>
      <c r="BF22" s="1"/>
      <c r="BG22" s="1"/>
      <c r="BH22" s="1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1"/>
      <c r="BW22" s="1"/>
      <c r="BX22" s="1"/>
      <c r="BY22" s="1"/>
      <c r="BZ22" s="1"/>
      <c r="CA22" s="6"/>
    </row>
    <row r="23" spans="3:81" x14ac:dyDescent="0.65"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6"/>
      <c r="AC23" s="5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6"/>
      <c r="BE23" s="5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6"/>
    </row>
    <row r="24" spans="3:81" x14ac:dyDescent="0.65"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6"/>
      <c r="AC24" s="5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6"/>
      <c r="BE24" s="5"/>
      <c r="BF24" s="1"/>
      <c r="BG24" s="1"/>
      <c r="BH24" s="1"/>
      <c r="BI24" s="56" t="s">
        <v>9</v>
      </c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1"/>
      <c r="BW24" s="1"/>
      <c r="BX24" s="1"/>
      <c r="BY24" s="1"/>
      <c r="BZ24" s="1"/>
      <c r="CA24" s="6"/>
    </row>
    <row r="25" spans="3:81" x14ac:dyDescent="0.65"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6"/>
      <c r="AC25" s="5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6"/>
      <c r="BE25" s="5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6"/>
    </row>
    <row r="26" spans="3:81" x14ac:dyDescent="0.65"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6"/>
      <c r="AC26" s="5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6"/>
      <c r="BE26" s="5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6"/>
    </row>
    <row r="27" spans="3:81" x14ac:dyDescent="0.65"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6"/>
      <c r="AC27" s="5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6"/>
      <c r="BE27" s="5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6"/>
    </row>
    <row r="28" spans="3:81" x14ac:dyDescent="0.65"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6"/>
      <c r="AC28" s="5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6"/>
      <c r="BE28" s="5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6"/>
    </row>
    <row r="29" spans="3:81" x14ac:dyDescent="0.65"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6"/>
      <c r="AC29" s="5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6"/>
      <c r="BE29" s="5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6"/>
    </row>
    <row r="30" spans="3:81" x14ac:dyDescent="0.65"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AC30" s="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9"/>
      <c r="BE30" s="7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9"/>
    </row>
    <row r="32" spans="3:81" x14ac:dyDescent="0.65">
      <c r="AC32" s="2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4"/>
      <c r="BE32" s="2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4"/>
    </row>
    <row r="33" spans="29:81" x14ac:dyDescent="0.65">
      <c r="AC33" s="5"/>
      <c r="AD33" s="58" t="s">
        <v>3</v>
      </c>
      <c r="AE33" s="58"/>
      <c r="AF33" s="58"/>
      <c r="AG33" s="58"/>
      <c r="AH33" s="58"/>
      <c r="AI33" s="58"/>
      <c r="AJ33" s="1"/>
      <c r="AK33" s="1"/>
      <c r="AL33" s="1"/>
      <c r="AM33" s="1"/>
      <c r="AN33" s="1"/>
      <c r="AO33" s="1"/>
      <c r="AP33" s="1"/>
      <c r="AQ33" s="1"/>
      <c r="AR33" s="1"/>
      <c r="AU33" s="58" t="s">
        <v>11</v>
      </c>
      <c r="AV33" s="58"/>
      <c r="AW33" s="58"/>
      <c r="AY33" s="10" t="s">
        <v>12</v>
      </c>
      <c r="BA33" s="6"/>
      <c r="BE33" s="5"/>
      <c r="BF33" s="58" t="s">
        <v>3</v>
      </c>
      <c r="BG33" s="58"/>
      <c r="BH33" s="58"/>
      <c r="BI33" s="58"/>
      <c r="BJ33" s="58"/>
      <c r="BK33" s="58"/>
      <c r="BL33" s="1"/>
      <c r="BM33" s="1"/>
      <c r="BN33" s="1"/>
      <c r="BO33" s="1"/>
      <c r="BP33" s="1"/>
      <c r="BQ33" s="1"/>
      <c r="BR33" s="1"/>
      <c r="BS33" s="1"/>
      <c r="BT33" s="1"/>
      <c r="BW33" s="58" t="s">
        <v>11</v>
      </c>
      <c r="BX33" s="58"/>
      <c r="BY33" s="58"/>
      <c r="CA33" s="10" t="s">
        <v>12</v>
      </c>
      <c r="CC33" s="6"/>
    </row>
    <row r="34" spans="29:81" x14ac:dyDescent="0.65">
      <c r="AC34" s="5"/>
      <c r="AD34" s="58"/>
      <c r="AE34" s="58"/>
      <c r="AF34" s="58"/>
      <c r="AG34" s="58"/>
      <c r="AH34" s="58"/>
      <c r="AI34" s="58"/>
      <c r="AJ34" s="10" t="s">
        <v>4</v>
      </c>
      <c r="AK34" s="1"/>
      <c r="AL34" s="1"/>
      <c r="AM34" s="62" t="s">
        <v>10</v>
      </c>
      <c r="AN34" s="62"/>
      <c r="AO34" s="62"/>
      <c r="AP34" s="62"/>
      <c r="AQ34" s="62"/>
      <c r="AR34" s="1"/>
      <c r="AS34" s="1"/>
      <c r="AT34" s="1"/>
      <c r="AU34" s="1"/>
      <c r="AV34" s="1"/>
      <c r="AW34" s="1"/>
      <c r="AX34" s="1"/>
      <c r="AY34" s="1"/>
      <c r="AZ34" s="1"/>
      <c r="BA34" s="6"/>
      <c r="BE34" s="5"/>
      <c r="BF34" s="58"/>
      <c r="BG34" s="58"/>
      <c r="BH34" s="58"/>
      <c r="BI34" s="58"/>
      <c r="BJ34" s="58"/>
      <c r="BK34" s="58"/>
      <c r="BL34" s="10" t="s">
        <v>4</v>
      </c>
      <c r="BM34" s="1"/>
      <c r="BN34" s="1"/>
      <c r="BO34" s="62" t="s">
        <v>10</v>
      </c>
      <c r="BP34" s="62"/>
      <c r="BQ34" s="62"/>
      <c r="BR34" s="62"/>
      <c r="BS34" s="62"/>
      <c r="BT34" s="1"/>
      <c r="BU34" s="1"/>
      <c r="BV34" s="1"/>
      <c r="BW34" s="1"/>
      <c r="BX34" s="1"/>
      <c r="BY34" s="1"/>
      <c r="BZ34" s="1"/>
      <c r="CA34" s="1"/>
      <c r="CB34" s="1"/>
      <c r="CC34" s="6"/>
    </row>
    <row r="35" spans="29:81" x14ac:dyDescent="0.65">
      <c r="AC35" s="5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6"/>
      <c r="BE35" s="5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6"/>
    </row>
    <row r="36" spans="29:81" x14ac:dyDescent="0.65">
      <c r="AC36" s="5"/>
      <c r="AD36" s="18"/>
      <c r="AE36" s="14"/>
      <c r="AF36" s="14"/>
      <c r="AG36" s="14"/>
      <c r="AH36" s="14"/>
      <c r="AI36" s="15"/>
      <c r="AJ36" s="2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4"/>
      <c r="BA36" s="22"/>
      <c r="BE36" s="5"/>
      <c r="BF36" s="18"/>
      <c r="BG36" s="14"/>
      <c r="BH36" s="14"/>
      <c r="BI36" s="14"/>
      <c r="BJ36" s="14"/>
      <c r="BK36" s="15"/>
      <c r="BL36" s="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4"/>
      <c r="CC36" s="22"/>
    </row>
    <row r="37" spans="29:81" x14ac:dyDescent="0.65">
      <c r="AC37" s="5"/>
      <c r="AD37" s="23" t="s">
        <v>14</v>
      </c>
      <c r="AE37" s="24"/>
      <c r="AF37" s="24"/>
      <c r="AG37" s="24"/>
      <c r="AH37" s="12"/>
      <c r="AI37" s="17"/>
      <c r="AJ37" s="5"/>
      <c r="AK37" s="10" t="s">
        <v>16</v>
      </c>
      <c r="AL37" s="1"/>
      <c r="AM37" s="1"/>
      <c r="AN37" s="1"/>
      <c r="AO37" s="10" t="s">
        <v>17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6"/>
      <c r="BA37" s="22"/>
      <c r="BE37" s="5"/>
      <c r="BF37" s="16" t="s">
        <v>13</v>
      </c>
      <c r="BG37" s="24"/>
      <c r="BH37" s="24"/>
      <c r="BI37" s="24"/>
      <c r="BJ37" s="12"/>
      <c r="BK37" s="17"/>
      <c r="BL37" s="5"/>
      <c r="BM37" s="10" t="s">
        <v>24</v>
      </c>
      <c r="BN37" s="1"/>
      <c r="BO37" s="1"/>
      <c r="BP37" s="10" t="s">
        <v>25</v>
      </c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6"/>
      <c r="CC37" s="22"/>
    </row>
    <row r="38" spans="29:81" x14ac:dyDescent="0.65">
      <c r="AC38" s="5"/>
      <c r="AD38" s="25" t="s">
        <v>20</v>
      </c>
      <c r="AE38" s="12"/>
      <c r="AF38" s="12"/>
      <c r="AG38" s="12"/>
      <c r="AH38" s="12"/>
      <c r="AI38" s="17"/>
      <c r="AJ38" s="5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6"/>
      <c r="BA38" s="22"/>
      <c r="BE38" s="5"/>
      <c r="BF38" s="26" t="s">
        <v>20</v>
      </c>
      <c r="BG38" s="12"/>
      <c r="BH38" s="12"/>
      <c r="BI38" s="12"/>
      <c r="BJ38" s="12"/>
      <c r="BK38" s="17"/>
      <c r="BL38" s="5"/>
      <c r="BM38" s="60" t="s">
        <v>21</v>
      </c>
      <c r="BN38" s="60"/>
      <c r="BO38" s="60"/>
      <c r="BP38" s="61" t="s">
        <v>22</v>
      </c>
      <c r="BQ38" s="61"/>
      <c r="BR38" s="61"/>
      <c r="BS38" s="61" t="s">
        <v>23</v>
      </c>
      <c r="BT38" s="61"/>
      <c r="BU38" s="61"/>
      <c r="BV38" s="61"/>
      <c r="BW38" s="61"/>
      <c r="BX38" s="61"/>
      <c r="BY38" s="61"/>
      <c r="BZ38" s="1"/>
      <c r="CA38" s="1"/>
      <c r="CB38" s="6"/>
      <c r="CC38" s="22"/>
    </row>
    <row r="39" spans="29:81" x14ac:dyDescent="0.65">
      <c r="AC39" s="5"/>
      <c r="AD39" s="16"/>
      <c r="AE39" s="12"/>
      <c r="AF39" s="12"/>
      <c r="AG39" s="12"/>
      <c r="AH39" s="12"/>
      <c r="AI39" s="17"/>
      <c r="AJ39" s="5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6"/>
      <c r="BA39" s="22"/>
      <c r="BE39" s="5"/>
      <c r="BF39" s="16"/>
      <c r="BG39" s="12"/>
      <c r="BH39" s="12"/>
      <c r="BI39" s="12"/>
      <c r="BJ39" s="12"/>
      <c r="BK39" s="17"/>
      <c r="BL39" s="5"/>
      <c r="BM39" s="60"/>
      <c r="BN39" s="60"/>
      <c r="BO39" s="60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1"/>
      <c r="CA39" s="1"/>
      <c r="CB39" s="6"/>
      <c r="CC39" s="22"/>
    </row>
    <row r="40" spans="29:81" x14ac:dyDescent="0.65">
      <c r="AC40" s="5"/>
      <c r="AD40" s="16"/>
      <c r="AE40" s="12"/>
      <c r="AF40" s="12"/>
      <c r="AG40" s="12"/>
      <c r="AH40" s="12"/>
      <c r="AI40" s="17"/>
      <c r="AJ40" s="5"/>
      <c r="AK40" s="10" t="s">
        <v>15</v>
      </c>
      <c r="AL40" s="1"/>
      <c r="AM40" s="1"/>
      <c r="AN40" s="1"/>
      <c r="AO40" s="10" t="s">
        <v>18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6"/>
      <c r="BA40" s="22"/>
      <c r="BE40" s="5"/>
      <c r="BF40" s="16"/>
      <c r="BG40" s="12"/>
      <c r="BH40" s="12"/>
      <c r="BI40" s="12"/>
      <c r="BJ40" s="12"/>
      <c r="BK40" s="17"/>
      <c r="BL40" s="5"/>
      <c r="BM40" s="60"/>
      <c r="BN40" s="60"/>
      <c r="BO40" s="60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1"/>
      <c r="CA40" s="1"/>
      <c r="CB40" s="6"/>
      <c r="CC40" s="22"/>
    </row>
    <row r="41" spans="29:81" x14ac:dyDescent="0.65">
      <c r="AC41" s="5"/>
      <c r="AD41" s="16"/>
      <c r="AE41" s="12"/>
      <c r="AF41" s="12"/>
      <c r="AG41" s="12"/>
      <c r="AH41" s="12"/>
      <c r="AI41" s="17"/>
      <c r="AJ41" s="5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6"/>
      <c r="BA41" s="22"/>
      <c r="BE41" s="5"/>
      <c r="BF41" s="16"/>
      <c r="BG41" s="12"/>
      <c r="BH41" s="12"/>
      <c r="BI41" s="12"/>
      <c r="BJ41" s="12"/>
      <c r="BK41" s="17"/>
      <c r="BL41" s="5"/>
      <c r="BM41" s="60"/>
      <c r="BN41" s="60"/>
      <c r="BO41" s="60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1"/>
      <c r="CA41" s="1"/>
      <c r="CB41" s="6"/>
      <c r="CC41" s="22"/>
    </row>
    <row r="42" spans="29:81" x14ac:dyDescent="0.65">
      <c r="AC42" s="5"/>
      <c r="AD42" s="16"/>
      <c r="AE42" s="12"/>
      <c r="AF42" s="12"/>
      <c r="AG42" s="12"/>
      <c r="AH42" s="12"/>
      <c r="AI42" s="17"/>
      <c r="AJ42" s="5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6"/>
      <c r="BA42" s="22"/>
      <c r="BE42" s="5"/>
      <c r="BF42" s="16"/>
      <c r="BG42" s="12"/>
      <c r="BH42" s="12"/>
      <c r="BI42" s="12"/>
      <c r="BJ42" s="12"/>
      <c r="BK42" s="17"/>
      <c r="BL42" s="5"/>
      <c r="BM42" s="60"/>
      <c r="BN42" s="60"/>
      <c r="BO42" s="60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1"/>
      <c r="CA42" s="1"/>
      <c r="CB42" s="6"/>
      <c r="CC42" s="22"/>
    </row>
    <row r="43" spans="29:81" x14ac:dyDescent="0.65">
      <c r="AC43" s="5"/>
      <c r="AD43" s="16"/>
      <c r="AE43" s="12"/>
      <c r="AF43" s="12"/>
      <c r="AG43" s="12"/>
      <c r="AH43" s="12"/>
      <c r="AI43" s="17"/>
      <c r="AJ43" s="5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6"/>
      <c r="BA43" s="22"/>
      <c r="BE43" s="5"/>
      <c r="BF43" s="16"/>
      <c r="BG43" s="12"/>
      <c r="BH43" s="12"/>
      <c r="BI43" s="12"/>
      <c r="BJ43" s="12"/>
      <c r="BK43" s="17"/>
      <c r="BL43" s="5"/>
      <c r="BM43" s="60"/>
      <c r="BN43" s="60"/>
      <c r="BO43" s="60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1"/>
      <c r="CA43" s="1"/>
      <c r="CB43" s="6"/>
      <c r="CC43" s="22"/>
    </row>
    <row r="44" spans="29:81" x14ac:dyDescent="0.65">
      <c r="AC44" s="5"/>
      <c r="AD44" s="16"/>
      <c r="AE44" s="12"/>
      <c r="AF44" s="12"/>
      <c r="AG44" s="12"/>
      <c r="AH44" s="12"/>
      <c r="AI44" s="17"/>
      <c r="AJ44" s="5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6"/>
      <c r="BA44" s="22"/>
      <c r="BE44" s="5"/>
      <c r="BF44" s="16"/>
      <c r="BG44" s="12"/>
      <c r="BH44" s="12"/>
      <c r="BI44" s="12"/>
      <c r="BJ44" s="12"/>
      <c r="BK44" s="17"/>
      <c r="BL44" s="5"/>
      <c r="BM44" s="60"/>
      <c r="BN44" s="60"/>
      <c r="BO44" s="60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1"/>
      <c r="CA44" s="1"/>
      <c r="CB44" s="6"/>
      <c r="CC44" s="22"/>
    </row>
    <row r="45" spans="29:81" x14ac:dyDescent="0.65">
      <c r="AC45" s="5"/>
      <c r="AD45" s="16"/>
      <c r="AE45" s="12"/>
      <c r="AF45" s="12"/>
      <c r="AG45" s="12"/>
      <c r="AH45" s="12"/>
      <c r="AI45" s="17"/>
      <c r="AJ45" s="5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6"/>
      <c r="BA45" s="22"/>
      <c r="BE45" s="5"/>
      <c r="BF45" s="16"/>
      <c r="BG45" s="12"/>
      <c r="BH45" s="12"/>
      <c r="BI45" s="12"/>
      <c r="BJ45" s="12"/>
      <c r="BK45" s="17"/>
      <c r="BL45" s="5"/>
      <c r="BM45" s="60"/>
      <c r="BN45" s="60"/>
      <c r="BO45" s="60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1"/>
      <c r="CA45" s="1"/>
      <c r="CB45" s="6"/>
      <c r="CC45" s="22"/>
    </row>
    <row r="46" spans="29:81" x14ac:dyDescent="0.65">
      <c r="AC46" s="5"/>
      <c r="AD46" s="16"/>
      <c r="AE46" s="12"/>
      <c r="AF46" s="12"/>
      <c r="AG46" s="12"/>
      <c r="AH46" s="12"/>
      <c r="AI46" s="17"/>
      <c r="AJ46" s="5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6"/>
      <c r="BA46" s="6"/>
      <c r="BE46" s="5"/>
      <c r="BF46" s="16"/>
      <c r="BG46" s="12"/>
      <c r="BH46" s="12"/>
      <c r="BI46" s="12"/>
      <c r="BJ46" s="12"/>
      <c r="BK46" s="17"/>
      <c r="BL46" s="5"/>
      <c r="BM46" s="60"/>
      <c r="BN46" s="60"/>
      <c r="BO46" s="60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1"/>
      <c r="CA46" s="1"/>
      <c r="CB46" s="6"/>
      <c r="CC46" s="6"/>
    </row>
    <row r="47" spans="29:81" x14ac:dyDescent="0.65">
      <c r="AC47" s="5"/>
      <c r="AD47" s="16"/>
      <c r="AE47" s="12"/>
      <c r="AF47" s="12"/>
      <c r="AG47" s="12"/>
      <c r="AH47" s="12"/>
      <c r="AI47" s="17"/>
      <c r="AJ47" s="5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6"/>
      <c r="BA47" s="6"/>
      <c r="BE47" s="5"/>
      <c r="BF47" s="16"/>
      <c r="BG47" s="12"/>
      <c r="BH47" s="12"/>
      <c r="BI47" s="12"/>
      <c r="BJ47" s="12"/>
      <c r="BK47" s="17"/>
      <c r="BL47" s="5"/>
      <c r="BM47" s="1"/>
      <c r="BN47" s="1"/>
      <c r="BO47" s="1"/>
      <c r="BP47" s="1"/>
      <c r="BQ47" s="1"/>
      <c r="BR47" s="1"/>
      <c r="BS47" s="1"/>
      <c r="BT47" s="10" t="s">
        <v>26</v>
      </c>
      <c r="BU47" s="1"/>
      <c r="BV47" s="1"/>
      <c r="BW47" s="1"/>
      <c r="BX47" s="10" t="s">
        <v>27</v>
      </c>
      <c r="BY47" s="1"/>
      <c r="BZ47" s="1"/>
      <c r="CA47" s="1"/>
      <c r="CB47" s="6"/>
      <c r="CC47" s="6"/>
    </row>
    <row r="48" spans="29:81" x14ac:dyDescent="0.65">
      <c r="AC48" s="5"/>
      <c r="AD48" s="16"/>
      <c r="AE48" s="12"/>
      <c r="AF48" s="12"/>
      <c r="AG48" s="12"/>
      <c r="AH48" s="12"/>
      <c r="AI48" s="17"/>
      <c r="AJ48" s="5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6"/>
      <c r="BA48" s="6"/>
      <c r="BE48" s="5"/>
      <c r="BF48" s="16"/>
      <c r="BG48" s="12"/>
      <c r="BH48" s="12"/>
      <c r="BI48" s="12"/>
      <c r="BJ48" s="12"/>
      <c r="BK48" s="17"/>
      <c r="BL48" s="5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6"/>
      <c r="CC48" s="6"/>
    </row>
    <row r="49" spans="29:81" x14ac:dyDescent="0.65">
      <c r="AC49" s="5"/>
      <c r="AD49" s="16"/>
      <c r="AE49" s="12"/>
      <c r="AF49" s="12"/>
      <c r="AG49" s="12"/>
      <c r="AH49" s="12"/>
      <c r="AI49" s="17"/>
      <c r="AJ49" s="5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6"/>
      <c r="BA49" s="6"/>
      <c r="BE49" s="5"/>
      <c r="BF49" s="16"/>
      <c r="BG49" s="12"/>
      <c r="BH49" s="12"/>
      <c r="BI49" s="12"/>
      <c r="BJ49" s="12"/>
      <c r="BK49" s="17"/>
      <c r="BL49" s="5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6"/>
      <c r="CC49" s="6"/>
    </row>
    <row r="50" spans="29:81" x14ac:dyDescent="0.65">
      <c r="AC50" s="5"/>
      <c r="AD50" s="16"/>
      <c r="AE50" s="12"/>
      <c r="AF50" s="12"/>
      <c r="AG50" s="12"/>
      <c r="AH50" s="12"/>
      <c r="AI50" s="17"/>
      <c r="AJ50" s="5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6"/>
      <c r="BA50" s="6"/>
      <c r="BE50" s="5"/>
      <c r="BF50" s="16"/>
      <c r="BG50" s="12"/>
      <c r="BH50" s="12"/>
      <c r="BI50" s="12"/>
      <c r="BJ50" s="12"/>
      <c r="BK50" s="17"/>
      <c r="BL50" s="5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6"/>
      <c r="CC50" s="6"/>
    </row>
    <row r="51" spans="29:81" x14ac:dyDescent="0.65">
      <c r="AC51" s="5"/>
      <c r="AD51" s="19"/>
      <c r="AE51" s="20"/>
      <c r="AF51" s="20"/>
      <c r="AG51" s="20"/>
      <c r="AH51" s="20"/>
      <c r="AI51" s="21"/>
      <c r="AJ51" s="7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6"/>
      <c r="BE51" s="5"/>
      <c r="BF51" s="19"/>
      <c r="BG51" s="20"/>
      <c r="BH51" s="20"/>
      <c r="BI51" s="20"/>
      <c r="BJ51" s="20"/>
      <c r="BK51" s="21"/>
      <c r="BL51" s="7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6"/>
    </row>
    <row r="52" spans="29:81" x14ac:dyDescent="0.65">
      <c r="AC52" s="5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6"/>
      <c r="BE52" s="5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6"/>
    </row>
    <row r="53" spans="29:81" x14ac:dyDescent="0.65">
      <c r="AC53" s="5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6"/>
      <c r="BE53" s="5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6"/>
    </row>
    <row r="54" spans="29:81" x14ac:dyDescent="0.65">
      <c r="AC54" s="5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6"/>
      <c r="BE54" s="5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6"/>
    </row>
    <row r="55" spans="29:81" x14ac:dyDescent="0.65">
      <c r="AC55" s="5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6"/>
      <c r="BE55" s="5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6"/>
    </row>
    <row r="56" spans="29:81" x14ac:dyDescent="0.65">
      <c r="AC56" s="5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6"/>
      <c r="BE56" s="5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6"/>
    </row>
    <row r="57" spans="29:81" x14ac:dyDescent="0.65">
      <c r="AC57" s="5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6"/>
      <c r="BE57" s="5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6"/>
    </row>
    <row r="58" spans="29:81" x14ac:dyDescent="0.65">
      <c r="AC58" s="5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6"/>
      <c r="BE58" s="5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6"/>
    </row>
    <row r="59" spans="29:81" x14ac:dyDescent="0.65">
      <c r="AC59" s="5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6"/>
      <c r="BE59" s="5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6"/>
    </row>
    <row r="60" spans="29:81" x14ac:dyDescent="0.65">
      <c r="AC60" s="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9"/>
      <c r="BE60" s="7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9"/>
    </row>
  </sheetData>
  <mergeCells count="41">
    <mergeCell ref="BM46:BO46"/>
    <mergeCell ref="BP46:BR46"/>
    <mergeCell ref="BS46:BY46"/>
    <mergeCell ref="D3:I4"/>
    <mergeCell ref="BF3:BK4"/>
    <mergeCell ref="BM44:BO44"/>
    <mergeCell ref="BP44:BR44"/>
    <mergeCell ref="BS44:BY44"/>
    <mergeCell ref="BM45:BO45"/>
    <mergeCell ref="BP45:BR45"/>
    <mergeCell ref="BS45:BY45"/>
    <mergeCell ref="BM42:BO42"/>
    <mergeCell ref="BP42:BR42"/>
    <mergeCell ref="BS42:BY42"/>
    <mergeCell ref="BM43:BO43"/>
    <mergeCell ref="BP43:BR43"/>
    <mergeCell ref="BS43:BY43"/>
    <mergeCell ref="BM40:BO40"/>
    <mergeCell ref="BP40:BR40"/>
    <mergeCell ref="BS40:BY40"/>
    <mergeCell ref="BM41:BO41"/>
    <mergeCell ref="BP41:BR41"/>
    <mergeCell ref="BS41:BY41"/>
    <mergeCell ref="BM39:BO39"/>
    <mergeCell ref="BP39:BR39"/>
    <mergeCell ref="BS39:BY39"/>
    <mergeCell ref="AD33:AI34"/>
    <mergeCell ref="AU33:AW33"/>
    <mergeCell ref="AM34:AQ34"/>
    <mergeCell ref="BF33:BK34"/>
    <mergeCell ref="BW33:BY33"/>
    <mergeCell ref="BO34:BS34"/>
    <mergeCell ref="BM38:BO38"/>
    <mergeCell ref="BP38:BR38"/>
    <mergeCell ref="BS38:BY38"/>
    <mergeCell ref="BI24:BU24"/>
    <mergeCell ref="G17:S18"/>
    <mergeCell ref="AD3:AI4"/>
    <mergeCell ref="AX3:AZ3"/>
    <mergeCell ref="AD6:AZ15"/>
    <mergeCell ref="BI21:BU22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2754-B8A9-4008-AFC8-77887096FDBB}">
  <dimension ref="B1:P98"/>
  <sheetViews>
    <sheetView workbookViewId="0">
      <selection activeCell="B2" sqref="B2"/>
    </sheetView>
  </sheetViews>
  <sheetFormatPr defaultRowHeight="18.45" x14ac:dyDescent="0.65"/>
  <sheetData>
    <row r="1" spans="2:16" x14ac:dyDescent="0.65">
      <c r="B1" s="27" t="s">
        <v>43</v>
      </c>
      <c r="C1" s="27" t="s">
        <v>44</v>
      </c>
    </row>
    <row r="2" spans="2:16" x14ac:dyDescent="0.65">
      <c r="O2" s="27"/>
    </row>
    <row r="3" spans="2:16" x14ac:dyDescent="0.65">
      <c r="B3" s="29" t="s">
        <v>35</v>
      </c>
      <c r="C3" s="3">
        <v>200</v>
      </c>
      <c r="D3" s="3"/>
      <c r="E3" s="3"/>
      <c r="F3" s="3"/>
      <c r="G3" s="3"/>
      <c r="H3" s="3"/>
      <c r="I3" s="3"/>
      <c r="J3" s="3"/>
      <c r="K3" s="3"/>
      <c r="L3" s="4"/>
      <c r="O3" s="27"/>
    </row>
    <row r="4" spans="2:16" x14ac:dyDescent="0.65">
      <c r="B4" s="28" t="s">
        <v>36</v>
      </c>
      <c r="C4" s="10" t="s">
        <v>31</v>
      </c>
      <c r="D4" s="1"/>
      <c r="E4" s="58" t="s">
        <v>37</v>
      </c>
      <c r="F4" s="58"/>
      <c r="G4" s="58"/>
      <c r="H4" s="58"/>
      <c r="I4" s="58"/>
      <c r="J4" s="1"/>
      <c r="K4" s="1"/>
      <c r="L4" s="6"/>
      <c r="O4" s="27"/>
    </row>
    <row r="5" spans="2:16" x14ac:dyDescent="0.65">
      <c r="B5" s="5"/>
      <c r="C5" s="1"/>
      <c r="D5" s="1"/>
      <c r="E5" s="58"/>
      <c r="F5" s="58"/>
      <c r="G5" s="58"/>
      <c r="H5" s="58"/>
      <c r="I5" s="58"/>
      <c r="J5" s="1"/>
      <c r="K5" s="1"/>
      <c r="L5" s="6"/>
      <c r="O5" s="27"/>
      <c r="P5" s="27"/>
    </row>
    <row r="6" spans="2:16" x14ac:dyDescent="0.65">
      <c r="B6" s="5"/>
      <c r="C6" s="1"/>
      <c r="D6" s="1"/>
      <c r="E6" s="1"/>
      <c r="F6" s="1"/>
      <c r="G6" s="1"/>
      <c r="H6" s="1"/>
      <c r="I6" s="1"/>
      <c r="J6" s="1"/>
      <c r="K6" s="1"/>
      <c r="L6" s="6"/>
    </row>
    <row r="7" spans="2:16" x14ac:dyDescent="0.65">
      <c r="B7" s="5"/>
      <c r="C7" s="1"/>
      <c r="D7" s="1"/>
      <c r="E7" s="1"/>
      <c r="F7" s="1"/>
      <c r="G7" s="1"/>
      <c r="H7" s="1"/>
      <c r="I7" s="1"/>
      <c r="J7" s="1"/>
      <c r="K7" s="1"/>
      <c r="L7" s="6"/>
    </row>
    <row r="8" spans="2:16" x14ac:dyDescent="0.65">
      <c r="B8" s="5"/>
      <c r="C8" s="1"/>
      <c r="D8" s="1"/>
      <c r="E8" s="1"/>
      <c r="F8" s="1"/>
      <c r="G8" s="1"/>
      <c r="H8" s="1"/>
      <c r="I8" s="1"/>
      <c r="J8" s="1"/>
      <c r="K8" s="1"/>
      <c r="L8" s="6"/>
    </row>
    <row r="9" spans="2:16" x14ac:dyDescent="0.65">
      <c r="B9" s="5"/>
      <c r="C9" s="1"/>
      <c r="D9" s="1"/>
      <c r="E9" s="1"/>
      <c r="F9" s="1"/>
      <c r="G9" s="1"/>
      <c r="H9" s="1"/>
      <c r="I9" s="1"/>
      <c r="J9" s="1"/>
      <c r="K9" s="1"/>
      <c r="L9" s="6"/>
    </row>
    <row r="10" spans="2:16" x14ac:dyDescent="0.65">
      <c r="B10" s="5"/>
      <c r="C10" s="1"/>
      <c r="D10" s="1"/>
      <c r="E10" s="1"/>
      <c r="F10" s="64">
        <v>5</v>
      </c>
      <c r="G10" s="65"/>
      <c r="H10" s="66"/>
      <c r="I10" s="1"/>
      <c r="J10" s="1"/>
      <c r="K10" s="1"/>
      <c r="L10" s="6"/>
    </row>
    <row r="11" spans="2:16" x14ac:dyDescent="0.65">
      <c r="B11" s="5"/>
      <c r="C11" s="1"/>
      <c r="D11" s="1"/>
      <c r="E11" s="1"/>
      <c r="F11" s="67"/>
      <c r="G11" s="63"/>
      <c r="H11" s="68"/>
      <c r="I11" s="1"/>
      <c r="J11" s="1"/>
      <c r="K11" s="1"/>
      <c r="L11" s="6"/>
    </row>
    <row r="12" spans="2:16" x14ac:dyDescent="0.65">
      <c r="B12" s="5"/>
      <c r="C12" s="1"/>
      <c r="D12" s="1"/>
      <c r="E12" s="1"/>
      <c r="F12" s="67"/>
      <c r="G12" s="63"/>
      <c r="H12" s="68"/>
      <c r="I12" s="1"/>
      <c r="J12" s="1"/>
      <c r="K12" s="1"/>
      <c r="L12" s="6"/>
    </row>
    <row r="13" spans="2:16" x14ac:dyDescent="0.65">
      <c r="B13" s="5"/>
      <c r="C13" s="1"/>
      <c r="D13" s="1"/>
      <c r="E13" s="1"/>
      <c r="F13" s="67"/>
      <c r="G13" s="63"/>
      <c r="H13" s="68"/>
      <c r="I13" s="1"/>
      <c r="J13" s="1"/>
      <c r="K13" s="1"/>
      <c r="L13" s="6"/>
    </row>
    <row r="14" spans="2:16" x14ac:dyDescent="0.65">
      <c r="B14" s="5"/>
      <c r="C14" s="1"/>
      <c r="D14" s="1"/>
      <c r="E14" s="1"/>
      <c r="F14" s="69"/>
      <c r="G14" s="70"/>
      <c r="H14" s="71"/>
      <c r="I14" s="1"/>
      <c r="J14" s="1"/>
      <c r="K14" s="1"/>
      <c r="L14" s="6"/>
    </row>
    <row r="15" spans="2:16" x14ac:dyDescent="0.65">
      <c r="B15" s="5"/>
      <c r="C15" s="1"/>
      <c r="D15" s="1"/>
      <c r="E15" s="1"/>
      <c r="F15" s="1"/>
      <c r="G15" s="1"/>
      <c r="H15" s="1"/>
      <c r="I15" s="1"/>
      <c r="J15" s="1"/>
      <c r="K15" s="1"/>
      <c r="L15" s="6"/>
    </row>
    <row r="16" spans="2:16" x14ac:dyDescent="0.65">
      <c r="B16" s="5"/>
      <c r="C16" s="1"/>
      <c r="D16" s="1"/>
      <c r="E16" s="1"/>
      <c r="F16" s="1"/>
      <c r="G16" s="1"/>
      <c r="H16" s="1"/>
      <c r="I16" s="1"/>
      <c r="J16" s="1"/>
      <c r="K16" s="1"/>
      <c r="L16" s="6"/>
    </row>
    <row r="17" spans="2:12" x14ac:dyDescent="0.65">
      <c r="B17" s="5"/>
      <c r="C17" s="1"/>
      <c r="D17" s="1"/>
      <c r="E17" s="1"/>
      <c r="F17" s="1"/>
      <c r="G17" s="1"/>
      <c r="H17" s="1"/>
      <c r="I17" s="1"/>
      <c r="J17" s="1"/>
      <c r="K17" s="1"/>
      <c r="L17" s="6"/>
    </row>
    <row r="18" spans="2:12" x14ac:dyDescent="0.65">
      <c r="B18" s="5"/>
      <c r="C18" s="1"/>
      <c r="D18" s="1"/>
      <c r="E18" s="1"/>
      <c r="F18" s="1"/>
      <c r="G18" s="1"/>
      <c r="H18" s="1"/>
      <c r="I18" s="1"/>
      <c r="J18" s="1"/>
      <c r="K18" s="1"/>
      <c r="L18" s="6"/>
    </row>
    <row r="19" spans="2:12" x14ac:dyDescent="0.65">
      <c r="B19" s="5"/>
      <c r="C19" s="1"/>
      <c r="D19" s="1"/>
      <c r="E19" s="1"/>
      <c r="F19" s="72" t="s">
        <v>32</v>
      </c>
      <c r="G19" s="72"/>
      <c r="H19" s="72"/>
      <c r="I19" s="1"/>
      <c r="J19" s="1"/>
      <c r="K19" s="1"/>
      <c r="L19" s="6"/>
    </row>
    <row r="20" spans="2:12" x14ac:dyDescent="0.65">
      <c r="B20" s="5"/>
      <c r="C20" s="1"/>
      <c r="D20" s="1"/>
      <c r="E20" s="1"/>
      <c r="F20" s="1"/>
      <c r="G20" s="1"/>
      <c r="H20" s="1"/>
      <c r="I20" s="1"/>
      <c r="J20" s="1"/>
      <c r="K20" s="1"/>
      <c r="L20" s="6"/>
    </row>
    <row r="21" spans="2:12" x14ac:dyDescent="0.65">
      <c r="B21" s="5"/>
      <c r="C21" s="1"/>
      <c r="D21" s="1"/>
      <c r="E21" s="1"/>
      <c r="F21" s="1"/>
      <c r="G21" s="1"/>
      <c r="H21" s="1"/>
      <c r="I21" s="1"/>
      <c r="J21" s="1"/>
      <c r="K21" s="1"/>
      <c r="L21" s="6"/>
    </row>
    <row r="22" spans="2:12" x14ac:dyDescent="0.65">
      <c r="B22" s="5"/>
      <c r="C22" s="1"/>
      <c r="D22" s="1"/>
      <c r="E22" s="1"/>
      <c r="F22" s="1"/>
      <c r="G22" s="1"/>
      <c r="H22" s="1"/>
      <c r="I22" s="1"/>
      <c r="J22" s="1"/>
      <c r="K22" s="1"/>
      <c r="L22" s="6"/>
    </row>
    <row r="23" spans="2:12" x14ac:dyDescent="0.65">
      <c r="B23" s="5"/>
      <c r="C23" s="1"/>
      <c r="D23" s="1"/>
      <c r="E23" s="1"/>
      <c r="F23" s="1"/>
      <c r="G23" s="1"/>
      <c r="H23" s="1"/>
      <c r="I23" s="1"/>
      <c r="J23" s="1"/>
      <c r="K23" s="1"/>
      <c r="L23" s="6"/>
    </row>
    <row r="24" spans="2:12" x14ac:dyDescent="0.65">
      <c r="B24" s="25" t="s">
        <v>28</v>
      </c>
      <c r="C24" s="13" t="s">
        <v>29</v>
      </c>
      <c r="D24" s="12"/>
      <c r="E24" s="12"/>
      <c r="F24" s="12"/>
      <c r="G24" s="12"/>
      <c r="H24" s="12"/>
      <c r="I24" s="12"/>
      <c r="J24" s="12"/>
      <c r="K24" s="13" t="s">
        <v>15</v>
      </c>
      <c r="L24" s="17"/>
    </row>
    <row r="25" spans="2:12" x14ac:dyDescent="0.65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7" spans="2:12" x14ac:dyDescent="0.65">
      <c r="B27" s="29" t="s">
        <v>35</v>
      </c>
      <c r="C27" s="3">
        <v>200</v>
      </c>
      <c r="D27" s="3"/>
      <c r="E27" s="3"/>
      <c r="F27" s="3"/>
      <c r="G27" s="3"/>
      <c r="H27" s="3"/>
      <c r="I27" s="3"/>
      <c r="J27" s="3"/>
      <c r="K27" s="3"/>
      <c r="L27" s="4"/>
    </row>
    <row r="28" spans="2:12" x14ac:dyDescent="0.65">
      <c r="B28" s="28" t="s">
        <v>36</v>
      </c>
      <c r="C28" s="10" t="s">
        <v>31</v>
      </c>
      <c r="D28" s="1"/>
      <c r="E28" s="58" t="s">
        <v>38</v>
      </c>
      <c r="F28" s="58"/>
      <c r="G28" s="58"/>
      <c r="H28" s="58"/>
      <c r="I28" s="58"/>
      <c r="J28" s="1"/>
      <c r="K28" s="10" t="s">
        <v>33</v>
      </c>
      <c r="L28" s="6"/>
    </row>
    <row r="29" spans="2:12" x14ac:dyDescent="0.65">
      <c r="B29" s="5"/>
      <c r="C29" s="1"/>
      <c r="D29" s="1"/>
      <c r="E29" s="58"/>
      <c r="F29" s="58"/>
      <c r="G29" s="58"/>
      <c r="H29" s="58"/>
      <c r="I29" s="58"/>
      <c r="J29" s="1"/>
      <c r="K29" s="1"/>
      <c r="L29" s="6"/>
    </row>
    <row r="30" spans="2:12" x14ac:dyDescent="0.65">
      <c r="B30" s="5"/>
      <c r="C30" s="1"/>
      <c r="D30" s="1"/>
      <c r="E30" s="1"/>
      <c r="F30" s="1"/>
      <c r="G30" s="1"/>
      <c r="H30" s="1"/>
      <c r="I30" s="1"/>
      <c r="J30" s="1"/>
      <c r="K30" s="1"/>
      <c r="L30" s="6"/>
    </row>
    <row r="31" spans="2:12" x14ac:dyDescent="0.65">
      <c r="B31" s="5"/>
      <c r="C31" s="1"/>
      <c r="D31" s="1"/>
      <c r="E31" s="1"/>
      <c r="F31" s="1"/>
      <c r="G31" s="1"/>
      <c r="H31" s="1"/>
      <c r="I31" s="1"/>
      <c r="J31" s="1"/>
      <c r="K31" s="1"/>
      <c r="L31" s="6"/>
    </row>
    <row r="32" spans="2:12" x14ac:dyDescent="0.65">
      <c r="B32" s="5"/>
      <c r="C32" s="1"/>
      <c r="D32" s="1"/>
      <c r="E32" s="1"/>
      <c r="F32" s="1"/>
      <c r="G32" s="1"/>
      <c r="H32" s="1"/>
      <c r="I32" s="1"/>
      <c r="J32" s="1"/>
      <c r="K32" s="1"/>
      <c r="L32" s="6"/>
    </row>
    <row r="33" spans="2:12" x14ac:dyDescent="0.65">
      <c r="B33" s="5"/>
      <c r="C33" s="1"/>
      <c r="D33" s="1"/>
      <c r="E33" s="1"/>
      <c r="F33" s="1"/>
      <c r="G33" s="1"/>
      <c r="H33" s="1"/>
      <c r="I33" s="1"/>
      <c r="J33" s="1"/>
      <c r="K33" s="1"/>
      <c r="L33" s="6"/>
    </row>
    <row r="34" spans="2:12" x14ac:dyDescent="0.65">
      <c r="B34" s="5"/>
      <c r="C34" s="1"/>
      <c r="D34" s="1"/>
      <c r="E34" s="1"/>
      <c r="F34" s="64">
        <v>5</v>
      </c>
      <c r="G34" s="65"/>
      <c r="H34" s="66"/>
      <c r="I34" s="1"/>
      <c r="J34" s="1"/>
      <c r="K34" s="1"/>
      <c r="L34" s="6"/>
    </row>
    <row r="35" spans="2:12" x14ac:dyDescent="0.65">
      <c r="B35" s="5"/>
      <c r="C35" s="1"/>
      <c r="D35" s="1"/>
      <c r="E35" s="1"/>
      <c r="F35" s="67"/>
      <c r="G35" s="63"/>
      <c r="H35" s="68"/>
      <c r="I35" s="1"/>
      <c r="J35" s="1"/>
      <c r="K35" s="1"/>
      <c r="L35" s="6"/>
    </row>
    <row r="36" spans="2:12" x14ac:dyDescent="0.65">
      <c r="B36" s="5"/>
      <c r="C36" s="1"/>
      <c r="D36" s="1"/>
      <c r="E36" s="1"/>
      <c r="F36" s="67"/>
      <c r="G36" s="63"/>
      <c r="H36" s="68"/>
      <c r="I36" s="1"/>
      <c r="J36" s="1"/>
      <c r="K36" s="1"/>
      <c r="L36" s="6"/>
    </row>
    <row r="37" spans="2:12" x14ac:dyDescent="0.65">
      <c r="B37" s="5"/>
      <c r="C37" s="1"/>
      <c r="D37" s="1"/>
      <c r="E37" s="1"/>
      <c r="F37" s="67"/>
      <c r="G37" s="63"/>
      <c r="H37" s="68"/>
      <c r="I37" s="1"/>
      <c r="J37" s="1"/>
      <c r="K37" s="1"/>
      <c r="L37" s="6"/>
    </row>
    <row r="38" spans="2:12" x14ac:dyDescent="0.65">
      <c r="B38" s="5"/>
      <c r="C38" s="1"/>
      <c r="D38" s="1"/>
      <c r="E38" s="1"/>
      <c r="F38" s="69"/>
      <c r="G38" s="70"/>
      <c r="H38" s="71"/>
      <c r="I38" s="1"/>
      <c r="J38" s="1"/>
      <c r="K38" s="1"/>
      <c r="L38" s="6"/>
    </row>
    <row r="39" spans="2:12" x14ac:dyDescent="0.65">
      <c r="B39" s="5"/>
      <c r="C39" s="1"/>
      <c r="D39" s="1"/>
      <c r="E39" s="1"/>
      <c r="F39" s="1"/>
      <c r="G39" s="1"/>
      <c r="H39" s="1"/>
      <c r="I39" s="1"/>
      <c r="J39" s="1"/>
      <c r="K39" s="1"/>
      <c r="L39" s="6"/>
    </row>
    <row r="40" spans="2:12" x14ac:dyDescent="0.65">
      <c r="B40" s="5"/>
      <c r="C40" s="1"/>
      <c r="D40" s="1"/>
      <c r="E40" s="1"/>
      <c r="F40" s="1"/>
      <c r="G40" s="1"/>
      <c r="H40" s="1"/>
      <c r="I40" s="1"/>
      <c r="J40" s="1"/>
      <c r="K40" s="1"/>
      <c r="L40" s="6"/>
    </row>
    <row r="41" spans="2:12" x14ac:dyDescent="0.65">
      <c r="B41" s="5"/>
      <c r="C41" s="1"/>
      <c r="D41" s="1"/>
      <c r="E41" s="1"/>
      <c r="F41" s="82" t="s">
        <v>30</v>
      </c>
      <c r="G41" s="83"/>
      <c r="H41" s="83"/>
      <c r="I41" s="1"/>
      <c r="J41" s="1"/>
      <c r="K41" s="1"/>
      <c r="L41" s="6"/>
    </row>
    <row r="42" spans="2:12" ht="18.899999999999999" thickBot="1" x14ac:dyDescent="0.7">
      <c r="B42" s="5"/>
      <c r="C42" s="1"/>
      <c r="D42" s="1"/>
      <c r="E42" s="1"/>
      <c r="F42" s="83"/>
      <c r="G42" s="83"/>
      <c r="H42" s="83"/>
      <c r="I42" s="1"/>
      <c r="J42" s="1"/>
      <c r="K42" s="1"/>
      <c r="L42" s="6"/>
    </row>
    <row r="43" spans="2:12" ht="18.899999999999999" thickTop="1" x14ac:dyDescent="0.65">
      <c r="B43" s="5"/>
      <c r="C43" s="1"/>
      <c r="D43" s="1"/>
      <c r="E43" s="1"/>
      <c r="F43" s="83"/>
      <c r="G43" s="83"/>
      <c r="H43" s="83"/>
      <c r="I43" s="1"/>
      <c r="J43" s="73" t="s">
        <v>30</v>
      </c>
      <c r="K43" s="76" t="s">
        <v>39</v>
      </c>
      <c r="L43" s="79" t="s">
        <v>40</v>
      </c>
    </row>
    <row r="44" spans="2:12" x14ac:dyDescent="0.65">
      <c r="B44" s="5"/>
      <c r="C44" s="1"/>
      <c r="D44" s="1"/>
      <c r="E44" s="1"/>
      <c r="F44" s="83"/>
      <c r="G44" s="83"/>
      <c r="H44" s="83"/>
      <c r="I44" s="1"/>
      <c r="J44" s="74"/>
      <c r="K44" s="77"/>
      <c r="L44" s="80"/>
    </row>
    <row r="45" spans="2:12" x14ac:dyDescent="0.65">
      <c r="B45" s="5"/>
      <c r="C45" s="1"/>
      <c r="D45" s="1"/>
      <c r="E45" s="1"/>
      <c r="F45" s="83"/>
      <c r="G45" s="83"/>
      <c r="H45" s="83"/>
      <c r="I45" s="1"/>
      <c r="J45" s="74"/>
      <c r="K45" s="77"/>
      <c r="L45" s="80"/>
    </row>
    <row r="46" spans="2:12" ht="18.899999999999999" thickBot="1" x14ac:dyDescent="0.7">
      <c r="B46" s="5"/>
      <c r="C46" s="1"/>
      <c r="D46" s="1"/>
      <c r="E46" s="1"/>
      <c r="F46" s="84"/>
      <c r="G46" s="84"/>
      <c r="H46" s="84"/>
      <c r="I46" s="1"/>
      <c r="J46" s="75"/>
      <c r="K46" s="78"/>
      <c r="L46" s="81"/>
    </row>
    <row r="47" spans="2:12" ht="18.899999999999999" thickTop="1" x14ac:dyDescent="0.65">
      <c r="B47" s="5"/>
      <c r="C47" s="1"/>
      <c r="D47" s="1"/>
      <c r="E47" s="1"/>
      <c r="F47" s="1"/>
      <c r="G47" s="1"/>
      <c r="H47" s="1"/>
      <c r="I47" s="1"/>
      <c r="J47" s="1"/>
      <c r="K47" s="1"/>
      <c r="L47" s="6"/>
    </row>
    <row r="48" spans="2:12" x14ac:dyDescent="0.65">
      <c r="B48" s="25" t="s">
        <v>28</v>
      </c>
      <c r="C48" s="13" t="s">
        <v>29</v>
      </c>
      <c r="D48" s="12"/>
      <c r="E48" s="12"/>
      <c r="F48" s="12"/>
      <c r="G48" s="12"/>
      <c r="H48" s="12"/>
      <c r="I48" s="12"/>
      <c r="J48" s="12"/>
      <c r="K48" s="13" t="s">
        <v>15</v>
      </c>
      <c r="L48" s="17"/>
    </row>
    <row r="49" spans="2:12" x14ac:dyDescent="0.65"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2:12" ht="18.899999999999999" thickBot="1" x14ac:dyDescent="0.7"/>
    <row r="51" spans="2:12" ht="18.899999999999999" thickTop="1" x14ac:dyDescent="0.65">
      <c r="B51" s="30" t="s">
        <v>35</v>
      </c>
      <c r="C51" s="31">
        <v>200</v>
      </c>
      <c r="D51" s="31"/>
      <c r="E51" s="31"/>
      <c r="F51" s="31"/>
      <c r="G51" s="31"/>
      <c r="H51" s="31"/>
      <c r="I51" s="31"/>
      <c r="J51" s="31"/>
      <c r="K51" s="31"/>
      <c r="L51" s="32"/>
    </row>
    <row r="52" spans="2:12" x14ac:dyDescent="0.65">
      <c r="B52" s="33" t="s">
        <v>36</v>
      </c>
      <c r="C52" s="10" t="s">
        <v>31</v>
      </c>
      <c r="D52" s="1"/>
      <c r="E52" s="58" t="s">
        <v>41</v>
      </c>
      <c r="F52" s="58"/>
      <c r="G52" s="58"/>
      <c r="H52" s="58"/>
      <c r="I52" s="58"/>
      <c r="J52" s="1"/>
      <c r="K52" s="10" t="s">
        <v>33</v>
      </c>
      <c r="L52" s="34"/>
    </row>
    <row r="53" spans="2:12" x14ac:dyDescent="0.65">
      <c r="B53" s="35"/>
      <c r="C53" s="1"/>
      <c r="D53" s="1"/>
      <c r="E53" s="58"/>
      <c r="F53" s="58"/>
      <c r="G53" s="58"/>
      <c r="H53" s="58"/>
      <c r="I53" s="58"/>
      <c r="J53" s="1"/>
      <c r="K53" s="1"/>
      <c r="L53" s="34"/>
    </row>
    <row r="54" spans="2:12" x14ac:dyDescent="0.65">
      <c r="B54" s="35"/>
      <c r="C54" s="1"/>
      <c r="D54" s="1"/>
      <c r="E54" s="1"/>
      <c r="F54" s="1"/>
      <c r="G54" s="1"/>
      <c r="H54" s="1"/>
      <c r="I54" s="1"/>
      <c r="J54" s="1"/>
      <c r="K54" s="1"/>
      <c r="L54" s="34"/>
    </row>
    <row r="55" spans="2:12" x14ac:dyDescent="0.65">
      <c r="B55" s="35"/>
      <c r="C55" s="1"/>
      <c r="D55" s="1"/>
      <c r="E55" s="1"/>
      <c r="F55" s="1"/>
      <c r="G55" s="1"/>
      <c r="H55" s="1"/>
      <c r="I55" s="1"/>
      <c r="J55" s="1"/>
      <c r="K55" s="1"/>
      <c r="L55" s="34"/>
    </row>
    <row r="56" spans="2:12" x14ac:dyDescent="0.65">
      <c r="B56" s="35"/>
      <c r="C56" s="1"/>
      <c r="D56" s="1"/>
      <c r="E56" s="1"/>
      <c r="F56" s="1"/>
      <c r="G56" s="1"/>
      <c r="H56" s="1"/>
      <c r="I56" s="1"/>
      <c r="J56" s="1"/>
      <c r="K56" s="1"/>
      <c r="L56" s="34"/>
    </row>
    <row r="57" spans="2:12" x14ac:dyDescent="0.65">
      <c r="B57" s="35"/>
      <c r="C57" s="1"/>
      <c r="D57" s="1"/>
      <c r="E57" s="1"/>
      <c r="F57" s="1"/>
      <c r="G57" s="1"/>
      <c r="H57" s="1"/>
      <c r="I57" s="1"/>
      <c r="J57" s="1"/>
      <c r="K57" s="1"/>
      <c r="L57" s="34"/>
    </row>
    <row r="58" spans="2:12" x14ac:dyDescent="0.65">
      <c r="B58" s="35"/>
      <c r="C58" s="1"/>
      <c r="D58" s="1"/>
      <c r="E58" s="1"/>
      <c r="F58" s="63"/>
      <c r="G58" s="63"/>
      <c r="H58" s="63"/>
      <c r="I58" s="1"/>
      <c r="J58" s="1"/>
      <c r="K58" s="1"/>
      <c r="L58" s="34"/>
    </row>
    <row r="59" spans="2:12" x14ac:dyDescent="0.65">
      <c r="B59" s="35"/>
      <c r="C59" s="1"/>
      <c r="D59" s="1"/>
      <c r="E59" s="1"/>
      <c r="F59" s="63"/>
      <c r="G59" s="63"/>
      <c r="H59" s="63"/>
      <c r="I59" s="1"/>
      <c r="J59" s="1"/>
      <c r="K59" s="1"/>
      <c r="L59" s="34"/>
    </row>
    <row r="60" spans="2:12" x14ac:dyDescent="0.65">
      <c r="B60" s="35"/>
      <c r="C60" s="1"/>
      <c r="D60" s="1"/>
      <c r="E60" s="1"/>
      <c r="F60" s="63"/>
      <c r="G60" s="63"/>
      <c r="H60" s="63"/>
      <c r="I60" s="1"/>
      <c r="J60" s="1"/>
      <c r="K60" s="1"/>
      <c r="L60" s="34"/>
    </row>
    <row r="61" spans="2:12" x14ac:dyDescent="0.65">
      <c r="B61" s="35"/>
      <c r="C61" s="1"/>
      <c r="D61" s="1"/>
      <c r="E61" s="1"/>
      <c r="F61" s="63"/>
      <c r="G61" s="63"/>
      <c r="H61" s="63"/>
      <c r="I61" s="1"/>
      <c r="J61" s="1"/>
      <c r="K61" s="1"/>
      <c r="L61" s="34"/>
    </row>
    <row r="62" spans="2:12" x14ac:dyDescent="0.65">
      <c r="B62" s="35"/>
      <c r="C62" s="1"/>
      <c r="D62" s="1"/>
      <c r="E62" s="1"/>
      <c r="F62" s="63"/>
      <c r="G62" s="63"/>
      <c r="H62" s="63"/>
      <c r="I62" s="1"/>
      <c r="J62" s="1"/>
      <c r="K62" s="1"/>
      <c r="L62" s="34"/>
    </row>
    <row r="63" spans="2:12" x14ac:dyDescent="0.65">
      <c r="B63" s="35"/>
      <c r="C63" s="1"/>
      <c r="D63" s="1"/>
      <c r="E63" s="1"/>
      <c r="F63" s="1"/>
      <c r="G63" s="1"/>
      <c r="H63" s="1"/>
      <c r="I63" s="1"/>
      <c r="J63" s="1"/>
      <c r="K63" s="1"/>
      <c r="L63" s="34"/>
    </row>
    <row r="64" spans="2:12" x14ac:dyDescent="0.65">
      <c r="B64" s="35"/>
      <c r="C64" s="1"/>
      <c r="D64" s="1"/>
      <c r="E64" s="1"/>
      <c r="F64" s="1"/>
      <c r="G64" s="1"/>
      <c r="H64" s="1"/>
      <c r="I64" s="1"/>
      <c r="J64" s="1"/>
      <c r="K64" s="1"/>
      <c r="L64" s="34"/>
    </row>
    <row r="65" spans="2:12" x14ac:dyDescent="0.65">
      <c r="B65" s="35"/>
      <c r="C65" s="1"/>
      <c r="D65" s="1"/>
      <c r="E65" s="1"/>
      <c r="F65" s="85"/>
      <c r="G65" s="86"/>
      <c r="H65" s="86"/>
      <c r="I65" s="1"/>
      <c r="J65" s="1"/>
      <c r="K65" s="1"/>
      <c r="L65" s="34"/>
    </row>
    <row r="66" spans="2:12" x14ac:dyDescent="0.65">
      <c r="B66" s="35"/>
      <c r="C66" s="1"/>
      <c r="D66" s="1"/>
      <c r="E66" s="1"/>
      <c r="F66" s="86"/>
      <c r="G66" s="86"/>
      <c r="H66" s="86"/>
      <c r="I66" s="1"/>
      <c r="J66" s="1"/>
      <c r="K66" s="1"/>
      <c r="L66" s="34"/>
    </row>
    <row r="67" spans="2:12" x14ac:dyDescent="0.65">
      <c r="B67" s="35"/>
      <c r="C67" s="1"/>
      <c r="D67" s="1"/>
      <c r="E67" s="1"/>
      <c r="F67" s="86"/>
      <c r="G67" s="86"/>
      <c r="H67" s="86"/>
      <c r="I67" s="1"/>
      <c r="J67" s="87"/>
      <c r="K67" s="88"/>
      <c r="L67" s="89"/>
    </row>
    <row r="68" spans="2:12" x14ac:dyDescent="0.65">
      <c r="B68" s="35"/>
      <c r="C68" s="1"/>
      <c r="D68" s="1"/>
      <c r="E68" s="1"/>
      <c r="F68" s="86"/>
      <c r="G68" s="86"/>
      <c r="H68" s="86"/>
      <c r="I68" s="1"/>
      <c r="J68" s="88"/>
      <c r="K68" s="88"/>
      <c r="L68" s="90"/>
    </row>
    <row r="69" spans="2:12" x14ac:dyDescent="0.65">
      <c r="B69" s="35"/>
      <c r="C69" s="1"/>
      <c r="D69" s="1"/>
      <c r="E69" s="1"/>
      <c r="F69" s="86"/>
      <c r="G69" s="86"/>
      <c r="H69" s="86"/>
      <c r="I69" s="1"/>
      <c r="J69" s="88"/>
      <c r="K69" s="88"/>
      <c r="L69" s="90"/>
    </row>
    <row r="70" spans="2:12" x14ac:dyDescent="0.65">
      <c r="B70" s="35"/>
      <c r="C70" s="1"/>
      <c r="D70" s="1"/>
      <c r="E70" s="1"/>
      <c r="F70" s="86"/>
      <c r="G70" s="86"/>
      <c r="H70" s="86"/>
      <c r="I70" s="1"/>
      <c r="J70" s="88"/>
      <c r="K70" s="88"/>
      <c r="L70" s="90"/>
    </row>
    <row r="71" spans="2:12" x14ac:dyDescent="0.65">
      <c r="B71" s="35"/>
      <c r="C71" s="1"/>
      <c r="D71" s="1"/>
      <c r="E71" s="1"/>
      <c r="F71" s="1"/>
      <c r="G71" s="1"/>
      <c r="H71" s="1"/>
      <c r="I71" s="1"/>
      <c r="J71" s="1"/>
      <c r="K71" s="1"/>
      <c r="L71" s="34"/>
    </row>
    <row r="72" spans="2:12" x14ac:dyDescent="0.65">
      <c r="B72" s="36" t="s">
        <v>28</v>
      </c>
      <c r="C72" s="13" t="s">
        <v>29</v>
      </c>
      <c r="D72" s="12"/>
      <c r="E72" s="12"/>
      <c r="F72" s="12"/>
      <c r="G72" s="12"/>
      <c r="H72" s="12"/>
      <c r="I72" s="12"/>
      <c r="J72" s="12"/>
      <c r="K72" s="13" t="s">
        <v>15</v>
      </c>
      <c r="L72" s="37"/>
    </row>
    <row r="73" spans="2:12" ht="18.899999999999999" thickBot="1" x14ac:dyDescent="0.7"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40"/>
    </row>
    <row r="74" spans="2:12" ht="19.3" thickTop="1" thickBot="1" x14ac:dyDescent="0.7"/>
    <row r="75" spans="2:12" ht="18.899999999999999" thickTop="1" x14ac:dyDescent="0.65">
      <c r="B75" s="30" t="s">
        <v>35</v>
      </c>
      <c r="C75" s="31">
        <v>200</v>
      </c>
      <c r="D75" s="31"/>
      <c r="E75" s="31"/>
      <c r="F75" s="31"/>
      <c r="G75" s="31"/>
      <c r="H75" s="31"/>
      <c r="I75" s="31"/>
      <c r="J75" s="31"/>
      <c r="K75" s="31"/>
      <c r="L75" s="32"/>
    </row>
    <row r="76" spans="2:12" x14ac:dyDescent="0.65">
      <c r="B76" s="33" t="s">
        <v>36</v>
      </c>
      <c r="C76" s="10" t="s">
        <v>31</v>
      </c>
      <c r="D76" s="1"/>
      <c r="E76" s="58" t="s">
        <v>42</v>
      </c>
      <c r="F76" s="58"/>
      <c r="G76" s="58"/>
      <c r="H76" s="58"/>
      <c r="I76" s="58"/>
      <c r="J76" s="1"/>
      <c r="K76" s="10" t="s">
        <v>33</v>
      </c>
      <c r="L76" s="34"/>
    </row>
    <row r="77" spans="2:12" x14ac:dyDescent="0.65">
      <c r="B77" s="35"/>
      <c r="C77" s="1"/>
      <c r="D77" s="1"/>
      <c r="E77" s="58"/>
      <c r="F77" s="58"/>
      <c r="G77" s="58"/>
      <c r="H77" s="58"/>
      <c r="I77" s="58"/>
      <c r="J77" s="1"/>
      <c r="K77" s="1"/>
      <c r="L77" s="34"/>
    </row>
    <row r="78" spans="2:12" x14ac:dyDescent="0.65">
      <c r="B78" s="35"/>
      <c r="C78" s="1"/>
      <c r="D78" s="1"/>
      <c r="E78" s="1"/>
      <c r="F78" s="1"/>
      <c r="G78" s="1"/>
      <c r="H78" s="1"/>
      <c r="I78" s="1"/>
      <c r="J78" s="1"/>
      <c r="K78" s="1"/>
      <c r="L78" s="34"/>
    </row>
    <row r="79" spans="2:12" x14ac:dyDescent="0.65">
      <c r="B79" s="35"/>
      <c r="C79" s="1"/>
      <c r="D79" s="1"/>
      <c r="E79" s="1"/>
      <c r="F79" s="1"/>
      <c r="G79" s="1"/>
      <c r="H79" s="1"/>
      <c r="I79" s="1"/>
      <c r="J79" s="1"/>
      <c r="K79" s="1"/>
      <c r="L79" s="34"/>
    </row>
    <row r="80" spans="2:12" x14ac:dyDescent="0.65">
      <c r="B80" s="35"/>
      <c r="C80" s="1"/>
      <c r="D80" s="1"/>
      <c r="E80" s="1"/>
      <c r="F80" s="1"/>
      <c r="G80" s="1"/>
      <c r="H80" s="1"/>
      <c r="I80" s="1"/>
      <c r="J80" s="1"/>
      <c r="K80" s="1"/>
      <c r="L80" s="34"/>
    </row>
    <row r="81" spans="2:12" x14ac:dyDescent="0.65">
      <c r="B81" s="35"/>
      <c r="C81" s="1"/>
      <c r="D81" s="1"/>
      <c r="E81" s="1"/>
      <c r="F81" s="1"/>
      <c r="G81" s="1"/>
      <c r="H81" s="1"/>
      <c r="I81" s="1"/>
      <c r="J81" s="1"/>
      <c r="K81" s="1"/>
      <c r="L81" s="34"/>
    </row>
    <row r="82" spans="2:12" x14ac:dyDescent="0.65">
      <c r="B82" s="35"/>
      <c r="C82" s="1"/>
      <c r="D82" s="1"/>
      <c r="E82" s="1"/>
      <c r="F82" s="64">
        <v>5</v>
      </c>
      <c r="G82" s="65"/>
      <c r="H82" s="66"/>
      <c r="I82" s="1"/>
      <c r="J82" s="1"/>
      <c r="K82" s="1"/>
      <c r="L82" s="34"/>
    </row>
    <row r="83" spans="2:12" x14ac:dyDescent="0.65">
      <c r="B83" s="35"/>
      <c r="C83" s="1"/>
      <c r="D83" s="1"/>
      <c r="E83" s="1"/>
      <c r="F83" s="67"/>
      <c r="G83" s="63"/>
      <c r="H83" s="68"/>
      <c r="I83" s="1"/>
      <c r="J83" s="1"/>
      <c r="K83" s="1"/>
      <c r="L83" s="34"/>
    </row>
    <row r="84" spans="2:12" x14ac:dyDescent="0.65">
      <c r="B84" s="35"/>
      <c r="C84" s="1"/>
      <c r="D84" s="1"/>
      <c r="E84" s="1"/>
      <c r="F84" s="67"/>
      <c r="G84" s="63"/>
      <c r="H84" s="68"/>
      <c r="I84" s="1"/>
      <c r="J84" s="1"/>
      <c r="K84" s="1"/>
      <c r="L84" s="34"/>
    </row>
    <row r="85" spans="2:12" x14ac:dyDescent="0.65">
      <c r="B85" s="35"/>
      <c r="C85" s="1"/>
      <c r="D85" s="1"/>
      <c r="E85" s="1"/>
      <c r="F85" s="67"/>
      <c r="G85" s="63"/>
      <c r="H85" s="68"/>
      <c r="I85" s="1"/>
      <c r="J85" s="1"/>
      <c r="K85" s="1"/>
      <c r="L85" s="34"/>
    </row>
    <row r="86" spans="2:12" x14ac:dyDescent="0.65">
      <c r="B86" s="35"/>
      <c r="C86" s="1"/>
      <c r="D86" s="1"/>
      <c r="E86" s="1"/>
      <c r="F86" s="69"/>
      <c r="G86" s="70"/>
      <c r="H86" s="71"/>
      <c r="I86" s="1"/>
      <c r="J86" s="1"/>
      <c r="K86" s="1"/>
      <c r="L86" s="34"/>
    </row>
    <row r="87" spans="2:12" x14ac:dyDescent="0.65">
      <c r="B87" s="35"/>
      <c r="C87" s="1"/>
      <c r="D87" s="1"/>
      <c r="E87" s="1"/>
      <c r="F87" s="1"/>
      <c r="G87" s="1"/>
      <c r="H87" s="1"/>
      <c r="I87" s="1"/>
      <c r="J87" s="1"/>
      <c r="K87" s="1"/>
      <c r="L87" s="34"/>
    </row>
    <row r="88" spans="2:12" x14ac:dyDescent="0.65">
      <c r="B88" s="35"/>
      <c r="C88" s="1"/>
      <c r="D88" s="1"/>
      <c r="E88" s="1"/>
      <c r="F88" s="1"/>
      <c r="G88" s="1"/>
      <c r="H88" s="1"/>
      <c r="I88" s="1"/>
      <c r="J88" s="1"/>
      <c r="K88" s="1"/>
      <c r="L88" s="34"/>
    </row>
    <row r="89" spans="2:12" x14ac:dyDescent="0.65">
      <c r="B89" s="35"/>
      <c r="C89" s="1"/>
      <c r="D89" s="1"/>
      <c r="E89" s="1"/>
      <c r="F89" s="85"/>
      <c r="G89" s="86"/>
      <c r="H89" s="86"/>
      <c r="I89" s="1"/>
      <c r="J89" s="1"/>
      <c r="K89" s="1"/>
      <c r="L89" s="34"/>
    </row>
    <row r="90" spans="2:12" x14ac:dyDescent="0.65">
      <c r="B90" s="35"/>
      <c r="C90" s="1"/>
      <c r="D90" s="1"/>
      <c r="E90" s="1"/>
      <c r="F90" s="86"/>
      <c r="G90" s="86"/>
      <c r="H90" s="86"/>
      <c r="I90" s="1"/>
      <c r="J90" s="1"/>
      <c r="K90" s="1"/>
      <c r="L90" s="34"/>
    </row>
    <row r="91" spans="2:12" x14ac:dyDescent="0.65">
      <c r="B91" s="35"/>
      <c r="C91" s="1"/>
      <c r="D91" s="1"/>
      <c r="E91" s="1"/>
      <c r="F91" s="86"/>
      <c r="G91" s="86"/>
      <c r="H91" s="86"/>
      <c r="I91" s="1"/>
      <c r="J91" s="87"/>
      <c r="K91" s="88"/>
      <c r="L91" s="89"/>
    </row>
    <row r="92" spans="2:12" x14ac:dyDescent="0.65">
      <c r="B92" s="35"/>
      <c r="C92" s="1"/>
      <c r="D92" s="1"/>
      <c r="E92" s="1"/>
      <c r="F92" s="86"/>
      <c r="G92" s="86"/>
      <c r="H92" s="86"/>
      <c r="I92" s="1"/>
      <c r="J92" s="88"/>
      <c r="K92" s="88"/>
      <c r="L92" s="90"/>
    </row>
    <row r="93" spans="2:12" x14ac:dyDescent="0.65">
      <c r="B93" s="35"/>
      <c r="C93" s="1"/>
      <c r="D93" s="1"/>
      <c r="E93" s="1"/>
      <c r="F93" s="86"/>
      <c r="G93" s="86"/>
      <c r="H93" s="86"/>
      <c r="I93" s="1"/>
      <c r="J93" s="88"/>
      <c r="K93" s="88"/>
      <c r="L93" s="90"/>
    </row>
    <row r="94" spans="2:12" x14ac:dyDescent="0.65">
      <c r="B94" s="35"/>
      <c r="C94" s="1"/>
      <c r="D94" s="1"/>
      <c r="E94" s="1"/>
      <c r="F94" s="86"/>
      <c r="G94" s="86"/>
      <c r="H94" s="86"/>
      <c r="I94" s="1"/>
      <c r="J94" s="88"/>
      <c r="K94" s="88"/>
      <c r="L94" s="90"/>
    </row>
    <row r="95" spans="2:12" x14ac:dyDescent="0.65">
      <c r="B95" s="35"/>
      <c r="C95" s="1"/>
      <c r="D95" s="1"/>
      <c r="E95" s="1"/>
      <c r="F95" s="1"/>
      <c r="G95" s="1"/>
      <c r="H95" s="1"/>
      <c r="I95" s="1"/>
      <c r="J95" s="1"/>
      <c r="K95" s="1"/>
      <c r="L95" s="34"/>
    </row>
    <row r="96" spans="2:12" x14ac:dyDescent="0.65">
      <c r="B96" s="36" t="s">
        <v>28</v>
      </c>
      <c r="C96" s="13" t="s">
        <v>29</v>
      </c>
      <c r="D96" s="12"/>
      <c r="E96" s="12"/>
      <c r="F96" s="12"/>
      <c r="G96" s="12"/>
      <c r="H96" s="12"/>
      <c r="I96" s="12"/>
      <c r="J96" s="12"/>
      <c r="K96" s="13" t="s">
        <v>15</v>
      </c>
      <c r="L96" s="37"/>
    </row>
    <row r="97" spans="2:12" ht="18.899999999999999" thickBot="1" x14ac:dyDescent="0.7"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40"/>
    </row>
    <row r="98" spans="2:12" ht="18.899999999999999" thickTop="1" x14ac:dyDescent="0.65"/>
  </sheetData>
  <mergeCells count="21">
    <mergeCell ref="F89:H94"/>
    <mergeCell ref="J91:J94"/>
    <mergeCell ref="K91:K94"/>
    <mergeCell ref="L91:L94"/>
    <mergeCell ref="F65:H70"/>
    <mergeCell ref="J67:J70"/>
    <mergeCell ref="K67:K70"/>
    <mergeCell ref="L67:L70"/>
    <mergeCell ref="E76:I77"/>
    <mergeCell ref="F82:H86"/>
    <mergeCell ref="J43:J46"/>
    <mergeCell ref="K43:K46"/>
    <mergeCell ref="L43:L46"/>
    <mergeCell ref="F41:H46"/>
    <mergeCell ref="E52:I53"/>
    <mergeCell ref="F58:H62"/>
    <mergeCell ref="F10:H14"/>
    <mergeCell ref="F34:H38"/>
    <mergeCell ref="E4:I5"/>
    <mergeCell ref="F19:H19"/>
    <mergeCell ref="E28:I29"/>
  </mergeCells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0174-291A-4011-8FED-D9FC8D4929DF}">
  <dimension ref="A1:G48"/>
  <sheetViews>
    <sheetView topLeftCell="A7" workbookViewId="0">
      <selection activeCell="B30" sqref="B30"/>
    </sheetView>
  </sheetViews>
  <sheetFormatPr defaultRowHeight="18.45" x14ac:dyDescent="0.65"/>
  <cols>
    <col min="1" max="1" width="30.140625" bestFit="1" customWidth="1"/>
    <col min="2" max="2" width="36.640625" bestFit="1" customWidth="1"/>
    <col min="3" max="3" width="13.2109375" bestFit="1" customWidth="1"/>
    <col min="4" max="4" width="10.5703125" bestFit="1" customWidth="1"/>
    <col min="5" max="5" width="11.42578125" bestFit="1" customWidth="1"/>
    <col min="6" max="6" width="10" customWidth="1"/>
    <col min="7" max="7" width="47.2109375" customWidth="1"/>
  </cols>
  <sheetData>
    <row r="1" spans="1:7" x14ac:dyDescent="0.65">
      <c r="A1" s="27" t="s">
        <v>96</v>
      </c>
      <c r="B1" s="27" t="s">
        <v>97</v>
      </c>
    </row>
    <row r="13" spans="1:7" x14ac:dyDescent="0.65">
      <c r="A13" s="41" t="s">
        <v>45</v>
      </c>
      <c r="B13" s="47" t="s">
        <v>60</v>
      </c>
      <c r="C13" s="42"/>
      <c r="D13" s="42"/>
      <c r="E13" s="42"/>
      <c r="F13" s="42"/>
      <c r="G13" s="42"/>
    </row>
    <row r="14" spans="1:7" x14ac:dyDescent="0.65">
      <c r="A14" s="41" t="s">
        <v>46</v>
      </c>
      <c r="B14" s="47" t="s">
        <v>91</v>
      </c>
      <c r="C14" s="42"/>
      <c r="D14" s="42"/>
      <c r="E14" s="42"/>
      <c r="F14" s="42"/>
      <c r="G14" s="42"/>
    </row>
    <row r="15" spans="1:7" x14ac:dyDescent="0.65">
      <c r="A15" s="43" t="s">
        <v>47</v>
      </c>
      <c r="B15" s="43" t="s">
        <v>48</v>
      </c>
      <c r="C15" s="43" t="s">
        <v>49</v>
      </c>
      <c r="D15" s="43" t="s">
        <v>50</v>
      </c>
      <c r="E15" s="43" t="s">
        <v>51</v>
      </c>
      <c r="F15" s="43" t="s">
        <v>52</v>
      </c>
      <c r="G15" s="43" t="str">
        <f>CONCATENATE("CREATE TABLE ",B13,"(")</f>
        <v>CREATE TABLE UserInfo(</v>
      </c>
    </row>
    <row r="16" spans="1:7" x14ac:dyDescent="0.65">
      <c r="A16" s="48" t="s">
        <v>62</v>
      </c>
      <c r="B16" s="49" t="s">
        <v>61</v>
      </c>
      <c r="C16" s="44" t="s">
        <v>69</v>
      </c>
      <c r="D16" s="44" t="s">
        <v>53</v>
      </c>
      <c r="E16" s="44" t="s">
        <v>54</v>
      </c>
      <c r="F16" s="44" t="s">
        <v>55</v>
      </c>
      <c r="G16" s="45" t="str">
        <f t="shared" ref="G16:G22" si="0">CONCATENATE(B16," ",C16," ",D16,",")</f>
        <v>USER_ID nvarchar(50) NOT NULL,</v>
      </c>
    </row>
    <row r="17" spans="1:7" x14ac:dyDescent="0.65">
      <c r="A17" s="48" t="s">
        <v>63</v>
      </c>
      <c r="B17" s="44" t="s">
        <v>98</v>
      </c>
      <c r="C17" s="44" t="s">
        <v>69</v>
      </c>
      <c r="D17" s="44" t="s">
        <v>53</v>
      </c>
      <c r="E17" s="44"/>
      <c r="F17" s="44" t="s">
        <v>55</v>
      </c>
      <c r="G17" s="45" t="str">
        <f t="shared" si="0"/>
        <v>USER_PASSWORD nvarchar(50) NOT NULL,</v>
      </c>
    </row>
    <row r="18" spans="1:7" x14ac:dyDescent="0.65">
      <c r="A18" s="48" t="s">
        <v>64</v>
      </c>
      <c r="B18" s="44" t="s">
        <v>99</v>
      </c>
      <c r="C18" s="48" t="s">
        <v>70</v>
      </c>
      <c r="D18" s="44" t="s">
        <v>53</v>
      </c>
      <c r="E18" s="44"/>
      <c r="F18" s="44" t="s">
        <v>56</v>
      </c>
      <c r="G18" s="45" t="str">
        <f t="shared" si="0"/>
        <v>REG_TIME datetime NOT NULL,</v>
      </c>
    </row>
    <row r="19" spans="1:7" x14ac:dyDescent="0.65">
      <c r="A19" s="48" t="s">
        <v>65</v>
      </c>
      <c r="B19" s="44" t="s">
        <v>100</v>
      </c>
      <c r="C19" s="48" t="s">
        <v>70</v>
      </c>
      <c r="D19" s="44" t="s">
        <v>53</v>
      </c>
      <c r="E19" s="44"/>
      <c r="F19" s="44" t="s">
        <v>56</v>
      </c>
      <c r="G19" s="45" t="str">
        <f t="shared" si="0"/>
        <v>LAST_MODIFY_TIME datetime NOT NULL,</v>
      </c>
    </row>
    <row r="20" spans="1:7" x14ac:dyDescent="0.65">
      <c r="A20" s="48" t="s">
        <v>66</v>
      </c>
      <c r="B20" s="44" t="s">
        <v>101</v>
      </c>
      <c r="C20" s="48" t="s">
        <v>70</v>
      </c>
      <c r="D20" s="44" t="s">
        <v>53</v>
      </c>
      <c r="E20" s="44"/>
      <c r="F20" s="44" t="s">
        <v>56</v>
      </c>
      <c r="G20" s="45" t="str">
        <f t="shared" si="0"/>
        <v>LAST_LOGIN_TIME datetime NOT NULL,</v>
      </c>
    </row>
    <row r="21" spans="1:7" x14ac:dyDescent="0.65">
      <c r="A21" s="48" t="s">
        <v>67</v>
      </c>
      <c r="B21" s="44" t="s">
        <v>102</v>
      </c>
      <c r="C21" s="44" t="s">
        <v>71</v>
      </c>
      <c r="D21" s="44" t="s">
        <v>53</v>
      </c>
      <c r="E21" s="44"/>
      <c r="F21" s="44" t="s">
        <v>56</v>
      </c>
      <c r="G21" s="45" t="str">
        <f t="shared" si="0"/>
        <v>REG_IP nvarchar(20) NOT NULL,</v>
      </c>
    </row>
    <row r="22" spans="1:7" x14ac:dyDescent="0.65">
      <c r="A22" s="48" t="s">
        <v>68</v>
      </c>
      <c r="B22" s="44" t="s">
        <v>103</v>
      </c>
      <c r="C22" s="44" t="s">
        <v>71</v>
      </c>
      <c r="D22" s="44" t="s">
        <v>53</v>
      </c>
      <c r="E22" s="44"/>
      <c r="F22" s="44" t="s">
        <v>56</v>
      </c>
      <c r="G22" s="45" t="str">
        <f t="shared" si="0"/>
        <v>LOGIN_IP nvarchar(20) NOT NULL,</v>
      </c>
    </row>
    <row r="23" spans="1:7" x14ac:dyDescent="0.65">
      <c r="A23" s="46"/>
      <c r="B23" s="46"/>
      <c r="C23" s="46"/>
      <c r="D23" s="46"/>
      <c r="E23" s="46"/>
      <c r="F23" s="46"/>
      <c r="G23" s="45" t="str">
        <f>CONCATENATE("PRIMARY KEY (",B16,"",")",") ")</f>
        <v xml:space="preserve">PRIMARY KEY (USER_ID)) </v>
      </c>
    </row>
    <row r="26" spans="1:7" x14ac:dyDescent="0.65">
      <c r="A26" s="41" t="s">
        <v>45</v>
      </c>
      <c r="B26" s="47" t="s">
        <v>19</v>
      </c>
      <c r="C26" s="42"/>
      <c r="D26" s="42"/>
      <c r="E26" s="42"/>
      <c r="F26" s="42"/>
      <c r="G26" s="42"/>
    </row>
    <row r="27" spans="1:7" x14ac:dyDescent="0.65">
      <c r="A27" s="41" t="s">
        <v>46</v>
      </c>
      <c r="B27" s="47" t="s">
        <v>72</v>
      </c>
      <c r="C27" s="42"/>
      <c r="D27" s="42"/>
      <c r="E27" s="42"/>
      <c r="F27" s="42"/>
      <c r="G27" s="42"/>
    </row>
    <row r="28" spans="1:7" x14ac:dyDescent="0.65">
      <c r="A28" s="43" t="s">
        <v>47</v>
      </c>
      <c r="B28" s="43" t="s">
        <v>48</v>
      </c>
      <c r="C28" s="43" t="s">
        <v>49</v>
      </c>
      <c r="D28" s="43" t="s">
        <v>50</v>
      </c>
      <c r="E28" s="43" t="s">
        <v>51</v>
      </c>
      <c r="F28" s="43" t="s">
        <v>52</v>
      </c>
      <c r="G28" s="43" t="str">
        <f>CONCATENATE("CREATE TABLE ",B26,"(")</f>
        <v>CREATE TABLE GameHistory(</v>
      </c>
    </row>
    <row r="29" spans="1:7" x14ac:dyDescent="0.65">
      <c r="A29" s="51" t="s">
        <v>62</v>
      </c>
      <c r="B29" s="52" t="s">
        <v>94</v>
      </c>
      <c r="C29" s="53" t="s">
        <v>95</v>
      </c>
      <c r="D29" s="53" t="s">
        <v>53</v>
      </c>
      <c r="E29" s="53" t="s">
        <v>54</v>
      </c>
      <c r="F29" s="53" t="s">
        <v>55</v>
      </c>
      <c r="G29" s="54" t="str">
        <f t="shared" ref="G29:G35" si="1">CONCATENATE(B29," ",C29," ",D29,",")</f>
        <v>USER_ID nvarchar(50) NOT NULL,</v>
      </c>
    </row>
    <row r="30" spans="1:7" x14ac:dyDescent="0.65">
      <c r="A30" s="51" t="s">
        <v>73</v>
      </c>
      <c r="B30" s="55" t="s">
        <v>74</v>
      </c>
      <c r="C30" s="53" t="s">
        <v>95</v>
      </c>
      <c r="D30" s="53" t="s">
        <v>53</v>
      </c>
      <c r="E30" s="53" t="s">
        <v>54</v>
      </c>
      <c r="F30" s="53" t="s">
        <v>55</v>
      </c>
      <c r="G30" s="54" t="str">
        <f t="shared" si="1"/>
        <v>ORDER_ID nvarchar(50) NOT NULL,</v>
      </c>
    </row>
    <row r="31" spans="1:7" x14ac:dyDescent="0.65">
      <c r="A31" s="48" t="s">
        <v>86</v>
      </c>
      <c r="B31" s="49" t="s">
        <v>87</v>
      </c>
      <c r="C31" s="50" t="s">
        <v>92</v>
      </c>
      <c r="D31" s="44" t="s">
        <v>53</v>
      </c>
      <c r="E31" s="44"/>
      <c r="F31" s="44" t="s">
        <v>56</v>
      </c>
      <c r="G31" s="45" t="str">
        <f t="shared" si="1"/>
        <v>BET_AMOUNT decimal(10,2) NOT NULL,</v>
      </c>
    </row>
    <row r="32" spans="1:7" x14ac:dyDescent="0.65">
      <c r="A32" s="48" t="s">
        <v>89</v>
      </c>
      <c r="B32" s="49" t="s">
        <v>90</v>
      </c>
      <c r="C32" s="50" t="s">
        <v>93</v>
      </c>
      <c r="D32" s="44" t="s">
        <v>53</v>
      </c>
      <c r="E32" s="44"/>
      <c r="F32" s="44" t="s">
        <v>56</v>
      </c>
      <c r="G32" s="45" t="str">
        <f t="shared" si="1"/>
        <v>WIN_FLAG int NOT NULL,</v>
      </c>
    </row>
    <row r="33" spans="1:7" x14ac:dyDescent="0.65">
      <c r="A33" s="48" t="s">
        <v>66</v>
      </c>
      <c r="B33" s="44" t="s">
        <v>57</v>
      </c>
      <c r="C33" s="48" t="s">
        <v>70</v>
      </c>
      <c r="D33" s="44" t="s">
        <v>53</v>
      </c>
      <c r="E33" s="44"/>
      <c r="F33" s="44" t="s">
        <v>56</v>
      </c>
      <c r="G33" s="45" t="str">
        <f t="shared" si="1"/>
        <v>SHOZOKUMEISHO_KANA datetime NOT NULL,</v>
      </c>
    </row>
    <row r="34" spans="1:7" x14ac:dyDescent="0.65">
      <c r="A34" s="48" t="s">
        <v>67</v>
      </c>
      <c r="B34" s="44" t="s">
        <v>58</v>
      </c>
      <c r="C34" s="44" t="s">
        <v>71</v>
      </c>
      <c r="D34" s="44" t="s">
        <v>53</v>
      </c>
      <c r="E34" s="44"/>
      <c r="F34" s="44" t="s">
        <v>56</v>
      </c>
      <c r="G34" s="45" t="str">
        <f t="shared" si="1"/>
        <v>CHIIKITEATEKBN nvarchar(20) NOT NULL,</v>
      </c>
    </row>
    <row r="35" spans="1:7" x14ac:dyDescent="0.65">
      <c r="A35" s="48" t="s">
        <v>68</v>
      </c>
      <c r="B35" s="44" t="s">
        <v>59</v>
      </c>
      <c r="C35" s="44" t="s">
        <v>71</v>
      </c>
      <c r="D35" s="44" t="s">
        <v>53</v>
      </c>
      <c r="E35" s="44"/>
      <c r="F35" s="44" t="s">
        <v>56</v>
      </c>
      <c r="G35" s="45" t="str">
        <f t="shared" si="1"/>
        <v>KEITOKBN nvarchar(20) NOT NULL,</v>
      </c>
    </row>
    <row r="36" spans="1:7" x14ac:dyDescent="0.65">
      <c r="A36" s="46"/>
      <c r="B36" s="46"/>
      <c r="C36" s="46"/>
      <c r="D36" s="46"/>
      <c r="E36" s="46"/>
      <c r="F36" s="46"/>
      <c r="G36" s="45" t="str">
        <f>CONCATENATE("PRIMARY KEY (",B29,",",B30,")",") ")</f>
        <v xml:space="preserve">PRIMARY KEY (USER_ID,ORDER_ID)) </v>
      </c>
    </row>
    <row r="39" spans="1:7" x14ac:dyDescent="0.65">
      <c r="A39" s="41" t="s">
        <v>45</v>
      </c>
      <c r="B39" s="47" t="s">
        <v>77</v>
      </c>
      <c r="C39" s="42"/>
      <c r="D39" s="42"/>
      <c r="E39" s="42"/>
      <c r="F39" s="42"/>
      <c r="G39" s="42"/>
    </row>
    <row r="40" spans="1:7" x14ac:dyDescent="0.65">
      <c r="A40" s="41" t="s">
        <v>46</v>
      </c>
      <c r="B40" s="47" t="s">
        <v>78</v>
      </c>
      <c r="C40" s="42"/>
      <c r="D40" s="42"/>
      <c r="E40" s="42"/>
      <c r="F40" s="42"/>
      <c r="G40" s="42"/>
    </row>
    <row r="41" spans="1:7" x14ac:dyDescent="0.65">
      <c r="A41" s="43" t="s">
        <v>47</v>
      </c>
      <c r="B41" s="43" t="s">
        <v>48</v>
      </c>
      <c r="C41" s="43" t="s">
        <v>49</v>
      </c>
      <c r="D41" s="43" t="s">
        <v>50</v>
      </c>
      <c r="E41" s="43" t="s">
        <v>51</v>
      </c>
      <c r="F41" s="43" t="s">
        <v>52</v>
      </c>
      <c r="G41" s="43" t="str">
        <f>CONCATENATE("CREATE TABLE ",B39,"(")</f>
        <v>CREATE TABLE OrderInfo(</v>
      </c>
    </row>
    <row r="42" spans="1:7" x14ac:dyDescent="0.65">
      <c r="A42" s="51" t="s">
        <v>73</v>
      </c>
      <c r="B42" s="55" t="s">
        <v>74</v>
      </c>
      <c r="C42" s="53" t="s">
        <v>95</v>
      </c>
      <c r="D42" s="53" t="s">
        <v>53</v>
      </c>
      <c r="E42" s="53" t="s">
        <v>54</v>
      </c>
      <c r="F42" s="53" t="s">
        <v>55</v>
      </c>
      <c r="G42" s="54" t="str">
        <f t="shared" ref="G42:G47" si="2">CONCATENATE(B42," ",C42," ",D42,",")</f>
        <v>ORDER_ID nvarchar(50) NOT NULL,</v>
      </c>
    </row>
    <row r="43" spans="1:7" x14ac:dyDescent="0.65">
      <c r="A43" s="48" t="s">
        <v>75</v>
      </c>
      <c r="B43" s="44" t="s">
        <v>83</v>
      </c>
      <c r="C43" s="48" t="s">
        <v>70</v>
      </c>
      <c r="D43" s="44" t="s">
        <v>53</v>
      </c>
      <c r="E43" s="44"/>
      <c r="F43" s="44" t="s">
        <v>55</v>
      </c>
      <c r="G43" s="45" t="str">
        <f t="shared" si="2"/>
        <v>ORDER_TIME datetime NOT NULL,</v>
      </c>
    </row>
    <row r="44" spans="1:7" x14ac:dyDescent="0.65">
      <c r="A44" s="48" t="s">
        <v>34</v>
      </c>
      <c r="B44" s="44" t="s">
        <v>84</v>
      </c>
      <c r="C44" s="50" t="s">
        <v>93</v>
      </c>
      <c r="D44" s="44" t="s">
        <v>53</v>
      </c>
      <c r="E44" s="44"/>
      <c r="F44" s="44" t="s">
        <v>56</v>
      </c>
      <c r="G44" s="45" t="str">
        <f t="shared" si="2"/>
        <v>BET_PEOPLE_NUMBER int NOT NULL,</v>
      </c>
    </row>
    <row r="45" spans="1:7" x14ac:dyDescent="0.65">
      <c r="A45" s="48" t="s">
        <v>79</v>
      </c>
      <c r="B45" s="44" t="s">
        <v>88</v>
      </c>
      <c r="C45" s="50" t="s">
        <v>92</v>
      </c>
      <c r="D45" s="44" t="s">
        <v>53</v>
      </c>
      <c r="E45" s="44"/>
      <c r="F45" s="44" t="s">
        <v>56</v>
      </c>
      <c r="G45" s="45" t="str">
        <f t="shared" si="2"/>
        <v>ALL_BET_AMOUNT decimal(10,2) NOT NULL,</v>
      </c>
    </row>
    <row r="46" spans="1:7" x14ac:dyDescent="0.65">
      <c r="A46" s="48" t="s">
        <v>80</v>
      </c>
      <c r="B46" s="44" t="s">
        <v>85</v>
      </c>
      <c r="C46" s="53" t="s">
        <v>95</v>
      </c>
      <c r="D46" s="44" t="s">
        <v>53</v>
      </c>
      <c r="E46" s="44"/>
      <c r="F46" s="44" t="s">
        <v>56</v>
      </c>
      <c r="G46" s="45" t="str">
        <f t="shared" si="2"/>
        <v>LAST_WIN_USER_ID nvarchar(50) NOT NULL,</v>
      </c>
    </row>
    <row r="47" spans="1:7" x14ac:dyDescent="0.65">
      <c r="A47" s="48" t="s">
        <v>76</v>
      </c>
      <c r="B47" s="44" t="s">
        <v>82</v>
      </c>
      <c r="C47" s="44" t="s">
        <v>81</v>
      </c>
      <c r="D47" s="44" t="s">
        <v>53</v>
      </c>
      <c r="E47" s="44"/>
      <c r="F47" s="44" t="s">
        <v>56</v>
      </c>
      <c r="G47" s="45" t="str">
        <f t="shared" si="2"/>
        <v>ORDER_TEXT TEXT NOT NULL,</v>
      </c>
    </row>
    <row r="48" spans="1:7" x14ac:dyDescent="0.65">
      <c r="A48" s="46"/>
      <c r="B48" s="46"/>
      <c r="C48" s="46"/>
      <c r="D48" s="46"/>
      <c r="E48" s="46"/>
      <c r="F48" s="46"/>
      <c r="G48" s="45" t="str">
        <f>CONCATENATE("PRIMARY KEY (",B42,"",")",") ")</f>
        <v xml:space="preserve">PRIMARY KEY (ORDER_ID)) </v>
      </c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60F8-8355-4469-8C9D-7F1724D5196A}">
  <dimension ref="A1"/>
  <sheetViews>
    <sheetView workbookViewId="0">
      <selection activeCell="L22" sqref="L22"/>
    </sheetView>
  </sheetViews>
  <sheetFormatPr defaultRowHeight="18.45" x14ac:dyDescent="0.65"/>
  <sheetData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CA40-D16B-47A1-86D0-0FEB062C27EC}">
  <dimension ref="A2:A15"/>
  <sheetViews>
    <sheetView tabSelected="1" workbookViewId="0">
      <selection activeCell="A16" sqref="A16"/>
    </sheetView>
  </sheetViews>
  <sheetFormatPr defaultRowHeight="18.45" x14ac:dyDescent="0.65"/>
  <sheetData>
    <row r="2" spans="1:1" x14ac:dyDescent="0.65">
      <c r="A2" s="27" t="s">
        <v>104</v>
      </c>
    </row>
    <row r="3" spans="1:1" x14ac:dyDescent="0.65">
      <c r="A3" s="27" t="s">
        <v>105</v>
      </c>
    </row>
    <row r="4" spans="1:1" x14ac:dyDescent="0.65">
      <c r="A4" s="27" t="s">
        <v>106</v>
      </c>
    </row>
    <row r="5" spans="1:1" x14ac:dyDescent="0.65">
      <c r="A5" s="27" t="s">
        <v>107</v>
      </c>
    </row>
    <row r="6" spans="1:1" x14ac:dyDescent="0.65">
      <c r="A6" s="91" t="s">
        <v>108</v>
      </c>
    </row>
    <row r="7" spans="1:1" x14ac:dyDescent="0.65">
      <c r="A7" s="27" t="s">
        <v>109</v>
      </c>
    </row>
    <row r="10" spans="1:1" x14ac:dyDescent="0.65">
      <c r="A10" s="27" t="s">
        <v>110</v>
      </c>
    </row>
    <row r="11" spans="1:1" x14ac:dyDescent="0.65">
      <c r="A11" s="27" t="s">
        <v>111</v>
      </c>
    </row>
    <row r="12" spans="1:1" x14ac:dyDescent="0.65">
      <c r="A12" s="27" t="s">
        <v>112</v>
      </c>
    </row>
    <row r="13" spans="1:1" x14ac:dyDescent="0.65">
      <c r="A13" s="27" t="s">
        <v>113</v>
      </c>
    </row>
    <row r="15" spans="1:1" x14ac:dyDescent="0.65">
      <c r="A15" s="27" t="s">
        <v>114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网站结构</vt:lpstr>
      <vt:lpstr>门户</vt:lpstr>
      <vt:lpstr>游戏设计</vt:lpstr>
      <vt:lpstr>数据库设计</vt:lpstr>
      <vt:lpstr>Redis使用方式</vt:lpstr>
      <vt:lpstr>docker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谷殿军</dc:creator>
  <cp:lastModifiedBy>谷殿军</cp:lastModifiedBy>
  <dcterms:created xsi:type="dcterms:W3CDTF">2023-06-15T00:08:57Z</dcterms:created>
  <dcterms:modified xsi:type="dcterms:W3CDTF">2023-06-20T00:44:26Z</dcterms:modified>
</cp:coreProperties>
</file>